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zhongyue_connect_hku_hk/Documents/#2 PhD/#2 research project/#8 modeling/4. writing/3rdDraft_DnD/rev.1/"/>
    </mc:Choice>
  </mc:AlternateContent>
  <xr:revisionPtr revIDLastSave="0" documentId="13_ncr:1_{98B53631-3B90-3649-ACAC-830412199EC8}" xr6:coauthVersionLast="47" xr6:coauthVersionMax="47" xr10:uidLastSave="{00000000-0000-0000-0000-000000000000}"/>
  <bookViews>
    <workbookView xWindow="0" yWindow="660" windowWidth="30240" windowHeight="17160" xr2:uid="{32B90841-BF0B-6B4E-9CF2-53CA821050B7}"/>
  </bookViews>
  <sheets>
    <sheet name="readme" sheetId="4" r:id="rId1"/>
    <sheet name="Table_S1_Metadata" sheetId="1" r:id="rId2"/>
    <sheet name="Table_S2_pairwise_comparisons" sheetId="3" r:id="rId3"/>
    <sheet name="Table_S3_GLM" sheetId="7" r:id="rId4"/>
    <sheet name="Table_S4_OTU&amp;Abundance" sheetId="5" r:id="rId5"/>
    <sheet name="Table_S5_Linear_regression" sheetId="2" r:id="rId6"/>
    <sheet name="Table_S6_PERMANOVA" sheetId="6" r:id="rId7"/>
    <sheet name="Table_S7_envfit" sheetId="8" r:id="rId8"/>
    <sheet name="Table_S8_MRM" sheetId="9" r:id="rId9"/>
  </sheets>
  <definedNames>
    <definedName name="_xlnm._FilterDatabase" localSheetId="1" hidden="1">Table_S1_Metadata!$A$3:$P$91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5" l="1"/>
  <c r="C63" i="5"/>
  <c r="D96" i="1"/>
  <c r="C61" i="5"/>
  <c r="C64" i="5" s="1"/>
  <c r="F61" i="5"/>
  <c r="F64" i="5" s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4" i="5"/>
  <c r="J95" i="1" l="1"/>
  <c r="J96" i="1" s="1"/>
  <c r="J94" i="1"/>
  <c r="J93" i="1"/>
  <c r="J92" i="1"/>
  <c r="I92" i="1"/>
  <c r="E92" i="1"/>
  <c r="F92" i="1"/>
  <c r="G92" i="1"/>
  <c r="H92" i="1"/>
  <c r="E93" i="1"/>
  <c r="F93" i="1"/>
  <c r="G93" i="1"/>
  <c r="H93" i="1"/>
  <c r="I93" i="1"/>
  <c r="D93" i="1"/>
  <c r="D92" i="1"/>
  <c r="E94" i="1"/>
  <c r="F94" i="1"/>
  <c r="G94" i="1"/>
  <c r="H94" i="1"/>
  <c r="I94" i="1"/>
  <c r="E95" i="1"/>
  <c r="F95" i="1"/>
  <c r="G95" i="1"/>
  <c r="G96" i="1" s="1"/>
  <c r="H95" i="1"/>
  <c r="I95" i="1"/>
  <c r="D95" i="1"/>
  <c r="D94" i="1"/>
  <c r="F96" i="1" l="1"/>
  <c r="H96" i="1"/>
  <c r="I96" i="1"/>
  <c r="E96" i="1"/>
</calcChain>
</file>

<file path=xl/sharedStrings.xml><?xml version="1.0" encoding="utf-8"?>
<sst xmlns="http://schemas.openxmlformats.org/spreadsheetml/2006/main" count="841" uniqueCount="326">
  <si>
    <t>ARMS</t>
  </si>
  <si>
    <t>yes</t>
  </si>
  <si>
    <t>p2</t>
  </si>
  <si>
    <t>HK69</t>
  </si>
  <si>
    <t>TPC</t>
  </si>
  <si>
    <t>p3</t>
  </si>
  <si>
    <t>HK66</t>
  </si>
  <si>
    <t>lgoWin</t>
  </si>
  <si>
    <t>HK17</t>
  </si>
  <si>
    <t>HK68</t>
  </si>
  <si>
    <t>HK70</t>
  </si>
  <si>
    <t>HK62</t>
  </si>
  <si>
    <t>p1</t>
  </si>
  <si>
    <t>HK56</t>
  </si>
  <si>
    <t>HK72</t>
  </si>
  <si>
    <t>HK71</t>
  </si>
  <si>
    <t>HK58</t>
  </si>
  <si>
    <t>logSum</t>
  </si>
  <si>
    <t>HK37</t>
  </si>
  <si>
    <t>HK16</t>
  </si>
  <si>
    <t>HK55</t>
  </si>
  <si>
    <t>HK18</t>
  </si>
  <si>
    <t>HK38</t>
  </si>
  <si>
    <t>toloARMS</t>
  </si>
  <si>
    <t>HK12</t>
  </si>
  <si>
    <t>HK64</t>
  </si>
  <si>
    <t>HK39</t>
  </si>
  <si>
    <t>HK11</t>
  </si>
  <si>
    <t>HK10</t>
  </si>
  <si>
    <t>HK25</t>
  </si>
  <si>
    <t>SW</t>
  </si>
  <si>
    <t>HK47</t>
  </si>
  <si>
    <t>HK27</t>
  </si>
  <si>
    <t>HK48</t>
  </si>
  <si>
    <t>HK46</t>
  </si>
  <si>
    <t>HK28</t>
  </si>
  <si>
    <t>SSW</t>
  </si>
  <si>
    <t>HK54</t>
  </si>
  <si>
    <t>HK53</t>
  </si>
  <si>
    <t>noSes</t>
  </si>
  <si>
    <t>HK52</t>
  </si>
  <si>
    <t>HK29</t>
  </si>
  <si>
    <t>HK30</t>
  </si>
  <si>
    <t>HK75</t>
  </si>
  <si>
    <t>SK</t>
  </si>
  <si>
    <t>HK65</t>
  </si>
  <si>
    <t>HK3</t>
  </si>
  <si>
    <t>PI</t>
  </si>
  <si>
    <t>HK2</t>
  </si>
  <si>
    <t>HK1</t>
  </si>
  <si>
    <t>HK31</t>
  </si>
  <si>
    <t>PC</t>
  </si>
  <si>
    <t>HK88</t>
  </si>
  <si>
    <t>HK51</t>
  </si>
  <si>
    <t>HK50</t>
  </si>
  <si>
    <t>HK32</t>
  </si>
  <si>
    <t>HK61</t>
  </si>
  <si>
    <t>HK49</t>
  </si>
  <si>
    <t>HK33</t>
  </si>
  <si>
    <t>HK63</t>
  </si>
  <si>
    <t>NP</t>
  </si>
  <si>
    <t>HK73</t>
  </si>
  <si>
    <t>HK83</t>
  </si>
  <si>
    <t>LM</t>
  </si>
  <si>
    <t>HK57</t>
  </si>
  <si>
    <t>no500</t>
  </si>
  <si>
    <t>HK4</t>
  </si>
  <si>
    <t>CLP</t>
  </si>
  <si>
    <t>HK5</t>
  </si>
  <si>
    <t>HK6</t>
  </si>
  <si>
    <t>HK80</t>
  </si>
  <si>
    <t>CI</t>
  </si>
  <si>
    <t>HK9</t>
  </si>
  <si>
    <t>HK13</t>
  </si>
  <si>
    <t>HK34</t>
  </si>
  <si>
    <t>HK67</t>
  </si>
  <si>
    <t>HK8</t>
  </si>
  <si>
    <t>HK35</t>
  </si>
  <si>
    <t>HK14</t>
  </si>
  <si>
    <t>HK36</t>
  </si>
  <si>
    <t>HK15</t>
  </si>
  <si>
    <t>HK7</t>
  </si>
  <si>
    <t>HK78</t>
  </si>
  <si>
    <t>CDA</t>
  </si>
  <si>
    <t>HK86</t>
  </si>
  <si>
    <t>HK44</t>
  </si>
  <si>
    <t>HK43</t>
  </si>
  <si>
    <t>HK82</t>
  </si>
  <si>
    <t>HK79</t>
  </si>
  <si>
    <t>HK81</t>
  </si>
  <si>
    <t>HK84</t>
  </si>
  <si>
    <t>HK90</t>
  </si>
  <si>
    <t>HK22</t>
  </si>
  <si>
    <t>HK74</t>
  </si>
  <si>
    <t>HK89</t>
  </si>
  <si>
    <t>HK23</t>
  </si>
  <si>
    <t>HK76</t>
  </si>
  <si>
    <t>HK87</t>
  </si>
  <si>
    <t>HK45</t>
  </si>
  <si>
    <t>HK77</t>
  </si>
  <si>
    <t>HK24</t>
  </si>
  <si>
    <t>HK85</t>
  </si>
  <si>
    <t>CC</t>
  </si>
  <si>
    <t>HK59</t>
  </si>
  <si>
    <t>HK41</t>
  </si>
  <si>
    <t>BI</t>
  </si>
  <si>
    <t>HK42</t>
  </si>
  <si>
    <t>HK21</t>
  </si>
  <si>
    <t>HK19</t>
  </si>
  <si>
    <t>HK40</t>
  </si>
  <si>
    <t>HK20</t>
  </si>
  <si>
    <t>Cnidaria</t>
  </si>
  <si>
    <t>Porifera</t>
  </si>
  <si>
    <t>Mollusca</t>
  </si>
  <si>
    <t>Rhodophyta</t>
  </si>
  <si>
    <t>Bacillariophyta</t>
  </si>
  <si>
    <t>Annelida</t>
  </si>
  <si>
    <t>Arthropoda</t>
  </si>
  <si>
    <t>phase</t>
  </si>
  <si>
    <t>Strength</t>
  </si>
  <si>
    <t>Degree</t>
  </si>
  <si>
    <t>SourceIndex</t>
  </si>
  <si>
    <t>OTU Richness</t>
  </si>
  <si>
    <t>Read Abundance</t>
  </si>
  <si>
    <t>Site</t>
  </si>
  <si>
    <t>Deploy Date</t>
  </si>
  <si>
    <t>Sampled Date</t>
  </si>
  <si>
    <t xml:space="preserve">Complete Sample </t>
  </si>
  <si>
    <t>TPC Index</t>
  </si>
  <si>
    <t>Region</t>
  </si>
  <si>
    <t>East</t>
  </si>
  <si>
    <t>no</t>
  </si>
  <si>
    <t>West</t>
  </si>
  <si>
    <t>South</t>
  </si>
  <si>
    <t>Tolo</t>
  </si>
  <si>
    <t>Cluster</t>
  </si>
  <si>
    <t>Slope</t>
  </si>
  <si>
    <t xml:space="preserve">Strength </t>
  </si>
  <si>
    <t>West - Tolo</t>
  </si>
  <si>
    <t>East - Tolo</t>
  </si>
  <si>
    <t>South - Tolo</t>
  </si>
  <si>
    <t>South - East</t>
  </si>
  <si>
    <t>West - East</t>
  </si>
  <si>
    <t>West - South</t>
  </si>
  <si>
    <t>&lt;0.001</t>
  </si>
  <si>
    <t xml:space="preserve">difference </t>
  </si>
  <si>
    <t>upper bound</t>
  </si>
  <si>
    <t>lowerbound</t>
  </si>
  <si>
    <t>Supplemental material for:</t>
  </si>
  <si>
    <t>From Local Stressors to Regional Sources: Eutrophication and Connectivity Shape a Coastal Metacommunity</t>
  </si>
  <si>
    <t>Table_S1_Metadata</t>
  </si>
  <si>
    <r>
      <t xml:space="preserve">p </t>
    </r>
    <r>
      <rPr>
        <b/>
        <sz val="12"/>
        <color theme="1"/>
        <rFont val="Aptos Narrow"/>
        <scheme val="minor"/>
      </rPr>
      <t>value</t>
    </r>
  </si>
  <si>
    <t>mean</t>
  </si>
  <si>
    <t>Standard Deviation( SD)</t>
  </si>
  <si>
    <t>Coefficient of variation (CV)</t>
  </si>
  <si>
    <t>min</t>
  </si>
  <si>
    <t>max</t>
  </si>
  <si>
    <t>na</t>
  </si>
  <si>
    <r>
      <t>Chl-</t>
    </r>
    <r>
      <rPr>
        <b/>
        <i/>
        <sz val="12"/>
        <color theme="1"/>
        <rFont val="Aptos Narrow"/>
        <scheme val="minor"/>
      </rPr>
      <t>a (μg/L)</t>
    </r>
  </si>
  <si>
    <t>Oomycota</t>
  </si>
  <si>
    <t>Discosea</t>
  </si>
  <si>
    <t>Bryozoa</t>
  </si>
  <si>
    <t>Chordata</t>
  </si>
  <si>
    <t>Phaeophyceae</t>
  </si>
  <si>
    <t>Nemertea</t>
  </si>
  <si>
    <t>Echinodermata</t>
  </si>
  <si>
    <t>Platyhelminthes</t>
  </si>
  <si>
    <t>Gastrotricha</t>
  </si>
  <si>
    <t>Chlorophyta</t>
  </si>
  <si>
    <t>Basidiomycota</t>
  </si>
  <si>
    <t>Ascomycota</t>
  </si>
  <si>
    <t>Nematoda</t>
  </si>
  <si>
    <t>Entoprocta</t>
  </si>
  <si>
    <t>Bigyra</t>
  </si>
  <si>
    <t>Rotifera</t>
  </si>
  <si>
    <t>Placozoa</t>
  </si>
  <si>
    <t>Mucoromycota</t>
  </si>
  <si>
    <t>Apusomonadida</t>
  </si>
  <si>
    <t>Haptophyta</t>
  </si>
  <si>
    <t>Zoopagomycota</t>
  </si>
  <si>
    <t>Chaetognatha</t>
  </si>
  <si>
    <t>Onychophora</t>
  </si>
  <si>
    <t>Raphidophyceae</t>
  </si>
  <si>
    <t>Choanoflagellata</t>
  </si>
  <si>
    <t>Amoebozoa</t>
  </si>
  <si>
    <t>Brachiopoda</t>
  </si>
  <si>
    <t>Chrysoparadoxa</t>
  </si>
  <si>
    <t>Eustigmatophyceae</t>
  </si>
  <si>
    <t>Streptophyta</t>
  </si>
  <si>
    <t>Xanthophyceae</t>
  </si>
  <si>
    <t>Blastocladiomycota</t>
  </si>
  <si>
    <t>Cercozoa</t>
  </si>
  <si>
    <t>Chrysophyceae</t>
  </si>
  <si>
    <t>CnidariaCnidaria</t>
  </si>
  <si>
    <t>Dictyochophyceae</t>
  </si>
  <si>
    <t>Evosea</t>
  </si>
  <si>
    <t>Hemichordata</t>
  </si>
  <si>
    <t>Kinorhyncha</t>
  </si>
  <si>
    <t>Sipuncula</t>
  </si>
  <si>
    <t>ArthropodaArthropoda</t>
  </si>
  <si>
    <t>ArthropodaMaxillopoda</t>
  </si>
  <si>
    <t>Cryptophyceae</t>
  </si>
  <si>
    <t>Malawimonad</t>
  </si>
  <si>
    <t>Pelagophyceae</t>
  </si>
  <si>
    <t>Pinguiophyceae</t>
  </si>
  <si>
    <t>Prasinodermophyta</t>
  </si>
  <si>
    <t>Tardigrada</t>
  </si>
  <si>
    <t>Tubulinea</t>
  </si>
  <si>
    <t>Xenacoelomorpha</t>
  </si>
  <si>
    <t xml:space="preserve">phylum  </t>
  </si>
  <si>
    <t>OTUs</t>
  </si>
  <si>
    <t xml:space="preserve">percentage </t>
  </si>
  <si>
    <t>phylum</t>
  </si>
  <si>
    <t>percentage</t>
  </si>
  <si>
    <t>Total</t>
  </si>
  <si>
    <t>OTU richness</t>
  </si>
  <si>
    <t xml:space="preserve">Read Abundance </t>
  </si>
  <si>
    <t>reads</t>
  </si>
  <si>
    <t>BH.adj.p</t>
  </si>
  <si>
    <t>% Richness</t>
  </si>
  <si>
    <t>R²</t>
  </si>
  <si>
    <t>Predictor</t>
  </si>
  <si>
    <t>Estimate</t>
  </si>
  <si>
    <t>Std. Error</t>
  </si>
  <si>
    <t>t value</t>
  </si>
  <si>
    <t>p value</t>
  </si>
  <si>
    <t>Intercept</t>
  </si>
  <si>
    <t>&lt;2e-16</t>
  </si>
  <si>
    <t>log(Richness)</t>
  </si>
  <si>
    <t>Residual standard error: 0.01108 on 86 degrees of freedom</t>
  </si>
  <si>
    <t>Multiple R-squared:  0.7188,</t>
  </si>
  <si>
    <t xml:space="preserve">Adjusted R-squared:  0.7155 </t>
  </si>
  <si>
    <t>F-statistic: 219.8 on 1 and 86 DF,  p-value: &lt; 2.2e-16</t>
  </si>
  <si>
    <t>Term</t>
  </si>
  <si>
    <t>degree of freedom</t>
  </si>
  <si>
    <t>SumOfSqs</t>
  </si>
  <si>
    <t>F statistic</t>
  </si>
  <si>
    <t>Residual</t>
  </si>
  <si>
    <t>Df</t>
  </si>
  <si>
    <t>East vs South</t>
  </si>
  <si>
    <t>East vs Tolo</t>
  </si>
  <si>
    <t>East vs West</t>
  </si>
  <si>
    <r>
      <rPr>
        <b/>
        <i/>
        <sz val="12"/>
        <color rgb="FF000000"/>
        <rFont val="Arial"/>
        <family val="2"/>
      </rPr>
      <t>p</t>
    </r>
    <r>
      <rPr>
        <b/>
        <sz val="12"/>
        <color rgb="FF000000"/>
        <rFont val="Arial"/>
        <family val="2"/>
      </rPr>
      <t>-value</t>
    </r>
  </si>
  <si>
    <t>Full model</t>
  </si>
  <si>
    <t>Tolo vs South</t>
  </si>
  <si>
    <t>Tolo vs West</t>
  </si>
  <si>
    <t>South vs West</t>
  </si>
  <si>
    <t>Pairwise</t>
  </si>
  <si>
    <t>% Read Abundance</t>
  </si>
  <si>
    <t>adj.R²</t>
  </si>
  <si>
    <t>ANOVA</t>
  </si>
  <si>
    <t>Tukey' HSD</t>
  </si>
  <si>
    <t xml:space="preserve">Pairwise  </t>
  </si>
  <si>
    <t>Sum Sq</t>
  </si>
  <si>
    <t>Mean Sq</t>
  </si>
  <si>
    <t>Residuals</t>
  </si>
  <si>
    <t>F-value</t>
  </si>
  <si>
    <t>terms</t>
  </si>
  <si>
    <t>Chlorophyll-a</t>
  </si>
  <si>
    <r>
      <rPr>
        <b/>
        <i/>
        <sz val="12"/>
        <color theme="1"/>
        <rFont val="Arial"/>
        <family val="2"/>
      </rPr>
      <t xml:space="preserve">p </t>
    </r>
    <r>
      <rPr>
        <b/>
        <sz val="12"/>
        <color theme="1"/>
        <rFont val="Arial"/>
        <family val="2"/>
      </rPr>
      <t>value</t>
    </r>
  </si>
  <si>
    <r>
      <t>Chlorophyll-</t>
    </r>
    <r>
      <rPr>
        <i/>
        <sz val="12"/>
        <color theme="1"/>
        <rFont val="Arial"/>
        <family val="2"/>
      </rPr>
      <t>a</t>
    </r>
  </si>
  <si>
    <r>
      <t xml:space="preserve">Supplementary Table S2: ANOVA and post‑hoc Tukey HSD comparisons of chlorophyll‑a, OTU richness, degree, and strength among four geographic regions (East, South, West, Tolo).  
</t>
    </r>
    <r>
      <rPr>
        <sz val="12"/>
        <color theme="1"/>
        <rFont val="Arial"/>
        <family val="2"/>
      </rPr>
      <t xml:space="preserve">For each pairwise comparison, the table shows the estimated difference, 95% confidence interval, and adjusted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‑value. East and South consistently had different values than West and Tolo for all four metrics (p &lt; 0.01), while differences within the East‑South and West‑Tolo pairs were not significant (p &gt; 0.05).
 </t>
    </r>
  </si>
  <si>
    <t>Parameter</t>
  </si>
  <si>
    <t>2.1 × 10⁻⁵</t>
  </si>
  <si>
    <t>2.5 × 10⁻⁶</t>
  </si>
  <si>
    <t>Model fit</t>
  </si>
  <si>
    <t>Value</t>
  </si>
  <si>
    <t>Null deviance</t>
  </si>
  <si>
    <t>4.503 (df = 82)</t>
  </si>
  <si>
    <t>Residual deviance</t>
  </si>
  <si>
    <t>3.382 (df = 81)</t>
  </si>
  <si>
    <t>Deviance explained</t>
  </si>
  <si>
    <t>AIC</t>
  </si>
  <si>
    <t>n</t>
  </si>
  <si>
    <r>
      <t>Supplementary Table S3: Generalized linear model (GLM) results for the TPC index as a function of log‑transformed chlorophyll‑a.</t>
    </r>
    <r>
      <rPr>
        <sz val="12"/>
        <color theme="1"/>
        <rFont val="Arial"/>
        <family val="2"/>
      </rPr>
      <t xml:space="preserve">
TPC index and chlorophyll‑a were modeled using a generalized linear model (GLM) with a Gamma distribution and log link function (TPC index ~ log(chlA), family = Gamma(link = "log"). Log‑transformed chlorophyll‑a was a highly significant negative predictor (estimate = -0.254, p = 2.5 × 10⁻⁶), with the model explaining 24.9% of the null deviance (n = 83).</t>
    </r>
  </si>
  <si>
    <t>Component</t>
  </si>
  <si>
    <t>PC1</t>
  </si>
  <si>
    <t>PC2</t>
  </si>
  <si>
    <t>Eigenvalue</t>
  </si>
  <si>
    <t>Variance explained (%)</t>
  </si>
  <si>
    <t>envfit: r²</t>
  </si>
  <si>
    <r>
      <t>envfit: chl-</t>
    </r>
    <r>
      <rPr>
        <i/>
        <sz val="12"/>
        <rFont val="Arial"/>
        <family val="2"/>
      </rPr>
      <t xml:space="preserve">a </t>
    </r>
    <r>
      <rPr>
        <sz val="12"/>
        <rFont val="Arial"/>
        <family val="2"/>
      </rPr>
      <t>loading</t>
    </r>
  </si>
  <si>
    <r>
      <t xml:space="preserve">envfit: </t>
    </r>
    <r>
      <rPr>
        <i/>
        <sz val="12"/>
        <rFont val="Arial"/>
        <family val="2"/>
      </rPr>
      <t>p</t>
    </r>
    <r>
      <rPr>
        <sz val="12"/>
        <rFont val="Arial"/>
        <family val="2"/>
      </rPr>
      <t xml:space="preserve"> value</t>
    </r>
  </si>
  <si>
    <t>PCoA</t>
  </si>
  <si>
    <t>envfit</t>
  </si>
  <si>
    <t>Model</t>
  </si>
  <si>
    <r>
      <t xml:space="preserve">Supplementary Table S7: Summary of Principal Coordinates Analysis (PCoA) and environmental vector fitting (envfit) for chlorophyll‑a. 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
</t>
    </r>
    <r>
      <rPr>
        <sz val="12"/>
        <color rgb="FF000000"/>
        <rFont val="Arial"/>
        <family val="2"/>
      </rPr>
      <t xml:space="preserve">The first two PCoA axes explained 27.6% and 16.2% of the total variation in benthic community composition (eigenvalues = 0.363 and 0.213, respectively). Chlorophyll‑a was significantly correlated with community composition (r² = 0.214, p = 0.001), with the vector pointing dominantly along positive PC1 (loading = 0.996) </t>
    </r>
  </si>
  <si>
    <r>
      <t xml:space="preserve">Supplementary Table S4:  OTU richness and read abundance of assigned sequences by phylum (&gt;80% similarity). </t>
    </r>
    <r>
      <rPr>
        <sz val="12"/>
        <color theme="1"/>
        <rFont val="Arial"/>
        <family val="2"/>
      </rPr>
      <t xml:space="preserve">
 The 18,877,702 reads (65.9% of total) and 5,673 OTUs (46.6% of total) that could be assigned to phylum level (&gt;80% similarity) are presented. Percentages are calculated within each column (OTU richness or read abundance).</t>
    </r>
  </si>
  <si>
    <r>
      <t xml:space="preserve">Supplementary Table S5A: Linear regression results for phylum-specific richness against total OTU richness.
</t>
    </r>
    <r>
      <rPr>
        <sz val="12"/>
        <color theme="1"/>
        <rFont val="Arial"/>
        <family val="2"/>
      </rPr>
      <t xml:space="preserve">For each phylum, a linear model was fitted with OTU richness as the dependent variable and total OTU richness as the independent variable. Shown are the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-value, coefficient of determination (R²), slope, and benjamini–hochberg p-values (BH.adj.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) for multiple testing correction. All relationships were statistically significant after correction (adjusted p &lt; 0.001).
 </t>
    </r>
  </si>
  <si>
    <r>
      <t xml:space="preserve">Supplementary Table S5B: Linear regression results for percentage phylum-specific OTU richness (donimance) against total OTU richness.
</t>
    </r>
    <r>
      <rPr>
        <sz val="12"/>
        <color theme="1"/>
        <rFont val="Arial"/>
        <family val="2"/>
      </rPr>
      <t xml:space="preserve">For each phylum, a linear model was fitted with percentage OTU richness (dominance) as the dependent variable and total OTU richness as the independent variable. Shown are the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-value, coefficient of determination (R²), slope, benjamini–hochberg p-values (BH.adj.p) for multiple testing correction. 
 </t>
    </r>
  </si>
  <si>
    <r>
      <t xml:space="preserve">Supplementary Table S5C: Linear regression results for percentage phylum-specific read abudnace (donimance) against total read abundance.
</t>
    </r>
    <r>
      <rPr>
        <sz val="12"/>
        <color theme="1"/>
        <rFont val="Arial"/>
        <family val="2"/>
      </rPr>
      <t xml:space="preserve">For each phylum, a linear model was fitted with percentagep hylum-specific read abudnace (donimance) as the dependent variable and total read abundance as the independent variable. Shown are the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-value, coefficient of determination (R²), slope, benjamini–hochberg p-values (BH.adj.p) for multiple testing correction. 
 </t>
    </r>
  </si>
  <si>
    <r>
      <t xml:space="preserve">Supplementary Table S6: PERMANOVA results comparing comunity composition across regions. 
</t>
    </r>
    <r>
      <rPr>
        <sz val="12"/>
        <color rgb="FF000000"/>
        <rFont val="Arial"/>
        <family val="2"/>
      </rPr>
      <t xml:space="preserve">Permutational multivariate analysis of variance (PERMANOVA) based on Bray-Curtis dissimilarities of square-root transformed OTU abundances and post hoc pairwise to indicate significant different pairs. Regions = west/south/east/tolo, seed = 123. </t>
    </r>
  </si>
  <si>
    <r>
      <t>Supplementary Table S8: Multiple Regression on Distance Matrices (MRM) results for benthic community dissimilarity.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
</t>
    </r>
    <r>
      <rPr>
        <sz val="12"/>
        <color rgb="FF000000"/>
        <rFont val="Arial"/>
        <family val="2"/>
      </rPr>
      <t>Predictors were pairwise geographic distance and chlorophyll‑</t>
    </r>
    <r>
      <rPr>
        <i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 xml:space="preserve"> concentration difference, both z-score transferred. Both predictors were significant (p = 0.001), with geographic distance having approximately 3.4 times the effect of chlorophyll‑a (β = 0.467 vs β = 0.139). </t>
    </r>
  </si>
  <si>
    <t>β</t>
  </si>
  <si>
    <t>F</t>
  </si>
  <si>
    <t>Permutations</t>
  </si>
  <si>
    <t>Response variable</t>
  </si>
  <si>
    <t>Predictor scaling</t>
  </si>
  <si>
    <t>Pairwise geographic distance</t>
  </si>
  <si>
    <t xml:space="preserve">Pairwise Chlorophyll‑a difference </t>
  </si>
  <si>
    <t>z-score (z = (x-μ)/σ)</t>
  </si>
  <si>
    <t>Bray‑Curtis dissimilarity</t>
  </si>
  <si>
    <r>
      <t xml:space="preserve">Supplementary Table S1: ARMS metadata and biodiversity metrics.
</t>
    </r>
    <r>
      <rPr>
        <sz val="12"/>
        <color theme="1"/>
        <rFont val="Arial"/>
        <family val="2"/>
      </rPr>
      <t>Summary of 88 Autonomous Reef Monitoring Structures (ARMS) deployed across Hong Kong waters, including deployment and sampling details, sequencing outcomes (OTU richness, read abundance, and TPC Index), and meta-community network properties (degree, strength, and SourceIndex). Chl-</t>
    </r>
    <r>
      <rPr>
        <i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column shown annual mean chlorophyll-a concentration 12 months prior to processing. Data are organized by site (Site), ARMS identifier (ARMS), region (East, South, West, Tolo), experimental phase (phase: p1/p2/p3, lgoWin, logSum, toloARMS), and cluster (by Louvain algorithm). The column "Complete Sample" indicates whether all three frations (106 μm/500 μm/sessile) were successfully amplied and sequenced. 
 </t>
    </r>
  </si>
  <si>
    <r>
      <t>log(chlorophyll-</t>
    </r>
    <r>
      <rPr>
        <i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)</t>
    </r>
  </si>
  <si>
    <t>Unassigned</t>
  </si>
  <si>
    <t>Total Assigned</t>
  </si>
  <si>
    <t xml:space="preserve">Total </t>
  </si>
  <si>
    <t>Supplementary Table S1: ARMS metadata and biodiversity metrics.</t>
  </si>
  <si>
    <t>Table_S2_pairwise_comparisons</t>
  </si>
  <si>
    <t xml:space="preserve">Supplementary Table S2: ANOVA and post‑hoc Tukey HSD comparisons of chlorophyll‑a, OTU richness, degree, and strength among four geographic regions (East, South, West, Tolo).  </t>
  </si>
  <si>
    <t>Supplementary Table S3: Generalized linear model (GLM) results for the TPC index as a function of log‑transformed chlorophyll‑a.</t>
  </si>
  <si>
    <t>Table_S3_GLM</t>
  </si>
  <si>
    <t>Table_S4_OTU&amp;Abundance</t>
  </si>
  <si>
    <t>Table_S5_Linear_regression</t>
  </si>
  <si>
    <t>Table_S6_PERMANOVA</t>
  </si>
  <si>
    <t>Table_S7_envfit</t>
  </si>
  <si>
    <t>Table_S8_MRM</t>
  </si>
  <si>
    <t xml:space="preserve">Supplementary Table S4:  OTU richness and read abundance of assigned sequences by phylum (&gt;80% similarity). </t>
  </si>
  <si>
    <t>Supplementary Table S5A: Linear regression results for phylum-specific richness against total OTU richness.</t>
  </si>
  <si>
    <t>Supplementary Table S5B: Linear regression results for percentage phylum-specific OTU richness (donimance) against total OTU richness.</t>
  </si>
  <si>
    <t>Supplementary Table S5C: Linear regression results for percentage phylum-specific read abudnace (donimance) against total read abundance.</t>
  </si>
  <si>
    <t>Supplementary Table S6: PERMANOVA results comparing comunity composition across regions.</t>
  </si>
  <si>
    <t xml:space="preserve">Supplementary Table S7: Summary of Principal Coordinates Analysis (PCoA) and environmental vector fitting (envfit) for chlorophyll‑a.  </t>
  </si>
  <si>
    <t>Supplementary Table S8: Multiple Regression on Distance Matrices (MRM) results for benthic community dissimilarity.</t>
  </si>
  <si>
    <t>Supplementary Table S5D: Linear regression results testing the relationship between community evenness and log‑transformed OTU richness.</t>
  </si>
  <si>
    <t>%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</si>
</sst>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%"/>
    <numFmt numFmtId="166" formatCode="0.000%"/>
    <numFmt numFmtId="167" formatCode="0.00000%"/>
  </numFmts>
  <fonts count="2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sz val="12"/>
      <color rgb="FF000000"/>
      <name val="Aptos"/>
    </font>
    <font>
      <sz val="12"/>
      <color rgb="FF000000"/>
      <name val="Aptos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scheme val="minor"/>
    </font>
    <font>
      <b/>
      <i/>
      <sz val="12"/>
      <color rgb="FF000000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ptos Narrow"/>
      <family val="2"/>
      <scheme val="minor"/>
    </font>
    <font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2"/>
      <color rgb="FF00000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EFEFE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right" wrapText="1"/>
    </xf>
    <xf numFmtId="2" fontId="1" fillId="2" borderId="1" xfId="0" applyNumberFormat="1" applyFont="1" applyFill="1" applyBorder="1" applyAlignment="1">
      <alignment horizontal="center" wrapText="1"/>
    </xf>
    <xf numFmtId="0" fontId="0" fillId="3" borderId="2" xfId="0" applyFill="1" applyBorder="1" applyAlignment="1">
      <alignment horizontal="right"/>
    </xf>
    <xf numFmtId="2" fontId="0" fillId="3" borderId="2" xfId="0" applyNumberFormat="1" applyFill="1" applyBorder="1" applyAlignment="1">
      <alignment horizontal="right"/>
    </xf>
    <xf numFmtId="2" fontId="0" fillId="3" borderId="2" xfId="0" applyNumberFormat="1" applyFill="1" applyBorder="1"/>
    <xf numFmtId="10" fontId="0" fillId="3" borderId="2" xfId="0" applyNumberFormat="1" applyFill="1" applyBorder="1"/>
    <xf numFmtId="0" fontId="6" fillId="0" borderId="0" xfId="0" applyFont="1" applyAlignment="1">
      <alignment vertical="top" wrapText="1"/>
    </xf>
    <xf numFmtId="10" fontId="0" fillId="0" borderId="1" xfId="0" applyNumberFormat="1" applyBorder="1"/>
    <xf numFmtId="0" fontId="10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1" fontId="1" fillId="0" borderId="2" xfId="0" applyNumberFormat="1" applyFont="1" applyBorder="1"/>
    <xf numFmtId="0" fontId="1" fillId="0" borderId="2" xfId="0" applyFont="1" applyBorder="1" applyAlignment="1">
      <alignment horizontal="right"/>
    </xf>
    <xf numFmtId="0" fontId="11" fillId="2" borderId="2" xfId="0" applyFont="1" applyFill="1" applyBorder="1" applyAlignment="1">
      <alignment horizontal="center" vertical="center" readingOrder="1"/>
    </xf>
    <xf numFmtId="0" fontId="12" fillId="0" borderId="2" xfId="0" applyFont="1" applyBorder="1" applyAlignment="1">
      <alignment horizontal="left" vertical="center" readingOrder="1"/>
    </xf>
    <xf numFmtId="11" fontId="0" fillId="0" borderId="2" xfId="0" applyNumberFormat="1" applyBorder="1"/>
    <xf numFmtId="0" fontId="0" fillId="0" borderId="2" xfId="0" applyBorder="1"/>
    <xf numFmtId="11" fontId="0" fillId="0" borderId="0" xfId="0" applyNumberFormat="1"/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7" fillId="0" borderId="0" xfId="0" applyFont="1"/>
    <xf numFmtId="0" fontId="14" fillId="0" borderId="0" xfId="0" applyFont="1" applyAlignment="1">
      <alignment vertical="top"/>
    </xf>
    <xf numFmtId="2" fontId="14" fillId="0" borderId="0" xfId="0" applyNumberFormat="1" applyFont="1" applyAlignment="1">
      <alignment vertical="top"/>
    </xf>
    <xf numFmtId="0" fontId="13" fillId="2" borderId="7" xfId="0" applyFont="1" applyFill="1" applyBorder="1" applyAlignment="1">
      <alignment horizontal="center" vertical="top" wrapText="1"/>
    </xf>
    <xf numFmtId="0" fontId="13" fillId="2" borderId="7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/>
    </xf>
    <xf numFmtId="0" fontId="7" fillId="3" borderId="7" xfId="0" applyFont="1" applyFill="1" applyBorder="1"/>
    <xf numFmtId="2" fontId="7" fillId="3" borderId="7" xfId="0" applyNumberFormat="1" applyFont="1" applyFill="1" applyBorder="1"/>
    <xf numFmtId="0" fontId="6" fillId="3" borderId="7" xfId="0" applyFont="1" applyFill="1" applyBorder="1"/>
    <xf numFmtId="0" fontId="7" fillId="0" borderId="7" xfId="0" applyFont="1" applyBorder="1"/>
    <xf numFmtId="2" fontId="7" fillId="0" borderId="7" xfId="0" applyNumberFormat="1" applyFont="1" applyBorder="1"/>
    <xf numFmtId="0" fontId="6" fillId="0" borderId="7" xfId="0" applyFont="1" applyBorder="1"/>
    <xf numFmtId="0" fontId="7" fillId="3" borderId="0" xfId="0" applyFont="1" applyFill="1"/>
    <xf numFmtId="2" fontId="7" fillId="3" borderId="0" xfId="0" applyNumberFormat="1" applyFont="1" applyFill="1"/>
    <xf numFmtId="0" fontId="6" fillId="3" borderId="0" xfId="0" applyFont="1" applyFill="1"/>
    <xf numFmtId="2" fontId="7" fillId="0" borderId="0" xfId="0" applyNumberFormat="1" applyFont="1"/>
    <xf numFmtId="0" fontId="6" fillId="0" borderId="0" xfId="0" applyFont="1"/>
    <xf numFmtId="0" fontId="14" fillId="0" borderId="7" xfId="0" applyFont="1" applyBorder="1" applyAlignment="1">
      <alignment vertical="top" wrapText="1"/>
    </xf>
    <xf numFmtId="0" fontId="14" fillId="0" borderId="7" xfId="0" applyFont="1" applyBorder="1" applyAlignment="1">
      <alignment vertical="top"/>
    </xf>
    <xf numFmtId="2" fontId="14" fillId="0" borderId="7" xfId="0" applyNumberFormat="1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7" fillId="3" borderId="7" xfId="0" applyFont="1" applyFill="1" applyBorder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 readingOrder="1"/>
    </xf>
    <xf numFmtId="0" fontId="6" fillId="2" borderId="2" xfId="0" applyFont="1" applyFill="1" applyBorder="1" applyAlignment="1">
      <alignment horizontal="center" vertical="center"/>
    </xf>
    <xf numFmtId="0" fontId="7" fillId="3" borderId="6" xfId="0" applyFont="1" applyFill="1" applyBorder="1"/>
    <xf numFmtId="11" fontId="6" fillId="3" borderId="6" xfId="0" applyNumberFormat="1" applyFont="1" applyFill="1" applyBorder="1"/>
    <xf numFmtId="11" fontId="7" fillId="0" borderId="0" xfId="0" applyNumberFormat="1" applyFont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11" fontId="6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11" fontId="6" fillId="0" borderId="0" xfId="0" applyNumberFormat="1" applyFont="1"/>
    <xf numFmtId="0" fontId="6" fillId="2" borderId="2" xfId="0" applyFont="1" applyFill="1" applyBorder="1"/>
    <xf numFmtId="0" fontId="7" fillId="3" borderId="2" xfId="0" applyFont="1" applyFill="1" applyBorder="1"/>
    <xf numFmtId="2" fontId="7" fillId="3" borderId="2" xfId="0" applyNumberFormat="1" applyFont="1" applyFill="1" applyBorder="1"/>
    <xf numFmtId="2" fontId="6" fillId="3" borderId="2" xfId="0" applyNumberFormat="1" applyFont="1" applyFill="1" applyBorder="1" applyAlignment="1">
      <alignment horizontal="right"/>
    </xf>
    <xf numFmtId="2" fontId="7" fillId="3" borderId="2" xfId="0" applyNumberFormat="1" applyFont="1" applyFill="1" applyBorder="1" applyAlignment="1">
      <alignment horizontal="right"/>
    </xf>
    <xf numFmtId="0" fontId="7" fillId="0" borderId="2" xfId="0" applyFont="1" applyBorder="1"/>
    <xf numFmtId="2" fontId="6" fillId="0" borderId="2" xfId="0" applyNumberFormat="1" applyFont="1" applyBorder="1"/>
    <xf numFmtId="2" fontId="6" fillId="0" borderId="2" xfId="0" applyNumberFormat="1" applyFont="1" applyBorder="1" applyAlignment="1">
      <alignment horizontal="right"/>
    </xf>
    <xf numFmtId="2" fontId="7" fillId="0" borderId="2" xfId="0" applyNumberFormat="1" applyFont="1" applyBorder="1"/>
    <xf numFmtId="2" fontId="7" fillId="0" borderId="2" xfId="0" applyNumberFormat="1" applyFont="1" applyBorder="1" applyAlignment="1">
      <alignment horizontal="right"/>
    </xf>
    <xf numFmtId="0" fontId="14" fillId="3" borderId="2" xfId="0" applyFont="1" applyFill="1" applyBorder="1" applyAlignment="1">
      <alignment horizontal="left" vertical="center" readingOrder="1"/>
    </xf>
    <xf numFmtId="0" fontId="14" fillId="0" borderId="2" xfId="0" applyFont="1" applyBorder="1" applyAlignment="1">
      <alignment horizontal="left" vertical="center" readingOrder="1"/>
    </xf>
    <xf numFmtId="0" fontId="13" fillId="2" borderId="2" xfId="0" applyFont="1" applyFill="1" applyBorder="1" applyAlignment="1">
      <alignment horizontal="center" vertical="center" readingOrder="1"/>
    </xf>
    <xf numFmtId="10" fontId="18" fillId="0" borderId="0" xfId="0" applyNumberFormat="1" applyFont="1"/>
    <xf numFmtId="0" fontId="7" fillId="0" borderId="0" xfId="0" applyFont="1" applyAlignment="1">
      <alignment horizontal="right"/>
    </xf>
    <xf numFmtId="10" fontId="0" fillId="0" borderId="2" xfId="0" applyNumberFormat="1" applyBorder="1"/>
    <xf numFmtId="0" fontId="19" fillId="0" borderId="0" xfId="0" applyFont="1"/>
    <xf numFmtId="0" fontId="13" fillId="2" borderId="2" xfId="0" applyFont="1" applyFill="1" applyBorder="1" applyAlignment="1">
      <alignment horizontal="center" vertical="top" wrapText="1"/>
    </xf>
    <xf numFmtId="0" fontId="20" fillId="0" borderId="2" xfId="0" applyFont="1" applyBorder="1"/>
    <xf numFmtId="10" fontId="20" fillId="0" borderId="2" xfId="0" applyNumberFormat="1" applyFont="1" applyBorder="1"/>
    <xf numFmtId="0" fontId="21" fillId="0" borderId="2" xfId="0" applyFont="1" applyBorder="1"/>
    <xf numFmtId="0" fontId="0" fillId="0" borderId="6" xfId="0" applyBorder="1"/>
    <xf numFmtId="0" fontId="0" fillId="0" borderId="7" xfId="0" applyBorder="1"/>
    <xf numFmtId="164" fontId="20" fillId="0" borderId="2" xfId="0" applyNumberFormat="1" applyFont="1" applyBorder="1"/>
    <xf numFmtId="0" fontId="24" fillId="0" borderId="2" xfId="0" applyFont="1" applyBorder="1"/>
    <xf numFmtId="10" fontId="7" fillId="0" borderId="0" xfId="0" applyNumberFormat="1" applyFont="1"/>
    <xf numFmtId="0" fontId="0" fillId="0" borderId="0" xfId="0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10" fontId="0" fillId="3" borderId="1" xfId="0" applyNumberFormat="1" applyFill="1" applyBorder="1"/>
    <xf numFmtId="166" fontId="0" fillId="3" borderId="1" xfId="0" applyNumberFormat="1" applyFill="1" applyBorder="1"/>
    <xf numFmtId="165" fontId="0" fillId="3" borderId="1" xfId="0" applyNumberFormat="1" applyFill="1" applyBorder="1"/>
    <xf numFmtId="167" fontId="0" fillId="3" borderId="1" xfId="0" applyNumberForma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3" borderId="2" xfId="0" applyFill="1" applyBorder="1" applyAlignment="1">
      <alignment horizontal="right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78B3-C942-B64A-8D55-9CC08F701F1F}">
  <dimension ref="A1:Z972"/>
  <sheetViews>
    <sheetView tabSelected="1" workbookViewId="0">
      <selection activeCell="M16" sqref="M16"/>
    </sheetView>
  </sheetViews>
  <sheetFormatPr baseColWidth="10" defaultRowHeight="16" x14ac:dyDescent="0.2"/>
  <sheetData>
    <row r="1" spans="1:26" x14ac:dyDescent="0.2">
      <c r="A1" s="7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7" t="s">
        <v>149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" x14ac:dyDescent="0.2">
      <c r="A5" s="10" t="s">
        <v>150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9" t="s">
        <v>307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x14ac:dyDescent="0.2">
      <c r="A8" s="10" t="s">
        <v>308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9" t="s">
        <v>309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x14ac:dyDescent="0.2">
      <c r="A11" s="10" t="s">
        <v>311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9" t="s">
        <v>310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" x14ac:dyDescent="0.2">
      <c r="A14" s="10" t="s">
        <v>312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9" t="s">
        <v>317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8" x14ac:dyDescent="0.2">
      <c r="A17" s="10" t="s">
        <v>313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9" t="s">
        <v>318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9" t="s">
        <v>319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9" t="s">
        <v>320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9" t="s">
        <v>324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" x14ac:dyDescent="0.2">
      <c r="A23" s="10" t="s">
        <v>314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9" t="s">
        <v>321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" x14ac:dyDescent="0.2">
      <c r="A26" s="10" t="s">
        <v>315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9" t="s">
        <v>322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" x14ac:dyDescent="0.2">
      <c r="A29" s="10" t="s">
        <v>316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9" t="s">
        <v>323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E8AC-6655-4249-8ED8-6EEEE54C1A40}">
  <dimension ref="A1:P96"/>
  <sheetViews>
    <sheetView zoomScaleNormal="100" workbookViewId="0">
      <selection activeCell="K4" sqref="K4"/>
    </sheetView>
  </sheetViews>
  <sheetFormatPr baseColWidth="10" defaultRowHeight="16" x14ac:dyDescent="0.2"/>
  <cols>
    <col min="1" max="3" width="9.1640625" customWidth="1"/>
    <col min="4" max="4" width="12.5" bestFit="1" customWidth="1"/>
    <col min="5" max="5" width="14.83203125" bestFit="1" customWidth="1"/>
    <col min="6" max="6" width="7.1640625" bestFit="1" customWidth="1"/>
    <col min="7" max="7" width="8.1640625" bestFit="1" customWidth="1"/>
    <col min="8" max="8" width="9.1640625" bestFit="1" customWidth="1"/>
    <col min="9" max="9" width="11.1640625" bestFit="1" customWidth="1"/>
    <col min="10" max="10" width="11.1640625" customWidth="1"/>
    <col min="11" max="11" width="6.83203125" style="4" bestFit="1" customWidth="1"/>
    <col min="12" max="12" width="7.33203125" style="4" customWidth="1"/>
    <col min="13" max="13" width="15.83203125" style="4" bestFit="1" customWidth="1"/>
    <col min="14" max="14" width="11.1640625" bestFit="1" customWidth="1"/>
    <col min="15" max="15" width="12.6640625" bestFit="1" customWidth="1"/>
    <col min="16" max="16" width="9" bestFit="1" customWidth="1"/>
  </cols>
  <sheetData>
    <row r="1" spans="1:16" ht="105" customHeight="1" x14ac:dyDescent="0.2">
      <c r="A1" s="111" t="s">
        <v>302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3" spans="1:16" ht="17" x14ac:dyDescent="0.2">
      <c r="A3" s="11" t="s">
        <v>131</v>
      </c>
      <c r="B3" s="11" t="s">
        <v>124</v>
      </c>
      <c r="C3" s="11" t="s">
        <v>0</v>
      </c>
      <c r="D3" s="12" t="s">
        <v>122</v>
      </c>
      <c r="E3" s="12" t="s">
        <v>123</v>
      </c>
      <c r="F3" s="11" t="s">
        <v>120</v>
      </c>
      <c r="G3" s="13" t="s">
        <v>119</v>
      </c>
      <c r="H3" s="14" t="s">
        <v>128</v>
      </c>
      <c r="I3" s="14" t="s">
        <v>121</v>
      </c>
      <c r="J3" s="14" t="s">
        <v>158</v>
      </c>
      <c r="K3" s="11" t="s">
        <v>129</v>
      </c>
      <c r="L3" s="11" t="s">
        <v>135</v>
      </c>
      <c r="M3" s="12" t="s">
        <v>127</v>
      </c>
      <c r="N3" s="12" t="s">
        <v>125</v>
      </c>
      <c r="O3" s="12" t="s">
        <v>126</v>
      </c>
      <c r="P3" s="11" t="s">
        <v>118</v>
      </c>
    </row>
    <row r="4" spans="1:16" x14ac:dyDescent="0.2">
      <c r="A4" s="1">
        <v>1</v>
      </c>
      <c r="B4" s="1" t="s">
        <v>105</v>
      </c>
      <c r="C4" s="1" t="s">
        <v>110</v>
      </c>
      <c r="D4" s="1">
        <v>609</v>
      </c>
      <c r="E4" s="1">
        <v>317563</v>
      </c>
      <c r="F4" s="1">
        <v>23</v>
      </c>
      <c r="G4" s="3">
        <v>6.8253734790590297</v>
      </c>
      <c r="H4" s="3">
        <v>1.1855937700000001</v>
      </c>
      <c r="I4" s="6">
        <v>2.2063687863842198</v>
      </c>
      <c r="J4" s="6">
        <v>1.03378653526306</v>
      </c>
      <c r="K4" s="1" t="s">
        <v>130</v>
      </c>
      <c r="L4" s="1">
        <v>1</v>
      </c>
      <c r="M4" s="1" t="s">
        <v>1</v>
      </c>
      <c r="N4" s="2">
        <v>43101</v>
      </c>
      <c r="O4" s="2">
        <v>43466</v>
      </c>
      <c r="P4" s="1" t="s">
        <v>7</v>
      </c>
    </row>
    <row r="5" spans="1:16" x14ac:dyDescent="0.2">
      <c r="A5" s="1">
        <v>2</v>
      </c>
      <c r="B5" s="1" t="s">
        <v>105</v>
      </c>
      <c r="C5" s="1" t="s">
        <v>109</v>
      </c>
      <c r="D5" s="1">
        <v>1066</v>
      </c>
      <c r="E5" s="1">
        <v>281562</v>
      </c>
      <c r="F5" s="1">
        <v>48</v>
      </c>
      <c r="G5" s="3">
        <v>14.7433619531835</v>
      </c>
      <c r="H5" s="3">
        <v>1.6840442339999999</v>
      </c>
      <c r="I5" s="6">
        <v>4.9119783406899096</v>
      </c>
      <c r="J5" s="6">
        <v>0.812758028507233</v>
      </c>
      <c r="K5" s="1" t="s">
        <v>130</v>
      </c>
      <c r="L5" s="1">
        <v>1</v>
      </c>
      <c r="M5" s="1" t="s">
        <v>1</v>
      </c>
      <c r="N5" s="2">
        <v>43282</v>
      </c>
      <c r="O5" s="2">
        <v>43647</v>
      </c>
      <c r="P5" s="1" t="s">
        <v>17</v>
      </c>
    </row>
    <row r="6" spans="1:16" x14ac:dyDescent="0.2">
      <c r="A6" s="1">
        <v>3</v>
      </c>
      <c r="B6" s="1" t="s">
        <v>105</v>
      </c>
      <c r="C6" s="1" t="s">
        <v>108</v>
      </c>
      <c r="D6" s="1">
        <v>661</v>
      </c>
      <c r="E6" s="1">
        <v>270021</v>
      </c>
      <c r="F6" s="1">
        <v>29</v>
      </c>
      <c r="G6" s="3">
        <v>10.073709940844299</v>
      </c>
      <c r="H6" s="3">
        <v>1.2868267360000001</v>
      </c>
      <c r="I6" s="6">
        <v>3.4632141704919501</v>
      </c>
      <c r="J6" s="6">
        <v>1.03378653526306</v>
      </c>
      <c r="K6" s="1" t="s">
        <v>130</v>
      </c>
      <c r="L6" s="1">
        <v>1</v>
      </c>
      <c r="M6" s="1" t="s">
        <v>1</v>
      </c>
      <c r="N6" s="2">
        <v>43101</v>
      </c>
      <c r="O6" s="2">
        <v>43466</v>
      </c>
      <c r="P6" s="1" t="s">
        <v>7</v>
      </c>
    </row>
    <row r="7" spans="1:16" x14ac:dyDescent="0.2">
      <c r="A7" s="1">
        <v>4</v>
      </c>
      <c r="B7" s="1" t="s">
        <v>105</v>
      </c>
      <c r="C7" s="1" t="s">
        <v>107</v>
      </c>
      <c r="D7" s="1">
        <v>666</v>
      </c>
      <c r="E7" s="1">
        <v>271906</v>
      </c>
      <c r="F7" s="1">
        <v>30</v>
      </c>
      <c r="G7" s="3">
        <v>9.3205618683539306</v>
      </c>
      <c r="H7" s="3">
        <v>1.2965606750000001</v>
      </c>
      <c r="I7" s="6">
        <v>2.96510173796077</v>
      </c>
      <c r="J7" s="6">
        <v>1.03378653526306</v>
      </c>
      <c r="K7" s="1" t="s">
        <v>130</v>
      </c>
      <c r="L7" s="1">
        <v>1</v>
      </c>
      <c r="M7" s="1" t="s">
        <v>1</v>
      </c>
      <c r="N7" s="2">
        <v>43101</v>
      </c>
      <c r="O7" s="2">
        <v>43466</v>
      </c>
      <c r="P7" s="1" t="s">
        <v>7</v>
      </c>
    </row>
    <row r="8" spans="1:16" x14ac:dyDescent="0.2">
      <c r="A8" s="1">
        <v>5</v>
      </c>
      <c r="B8" s="1" t="s">
        <v>105</v>
      </c>
      <c r="C8" s="1" t="s">
        <v>106</v>
      </c>
      <c r="D8" s="3" t="s">
        <v>157</v>
      </c>
      <c r="E8" s="3" t="s">
        <v>157</v>
      </c>
      <c r="F8" s="1">
        <v>24</v>
      </c>
      <c r="G8" s="3">
        <v>6.9465954211183103</v>
      </c>
      <c r="H8" s="3" t="s">
        <v>157</v>
      </c>
      <c r="I8" s="6">
        <v>2.33176716437635</v>
      </c>
      <c r="J8" s="6">
        <v>0.812758028507233</v>
      </c>
      <c r="K8" s="1" t="s">
        <v>130</v>
      </c>
      <c r="L8" s="1">
        <v>1</v>
      </c>
      <c r="M8" s="1" t="s">
        <v>39</v>
      </c>
      <c r="N8" s="2">
        <v>43282</v>
      </c>
      <c r="O8" s="2">
        <v>43647</v>
      </c>
      <c r="P8" s="1" t="s">
        <v>17</v>
      </c>
    </row>
    <row r="9" spans="1:16" x14ac:dyDescent="0.2">
      <c r="A9" s="1">
        <v>6</v>
      </c>
      <c r="B9" s="1" t="s">
        <v>105</v>
      </c>
      <c r="C9" s="1" t="s">
        <v>104</v>
      </c>
      <c r="D9" s="1">
        <v>650</v>
      </c>
      <c r="E9" s="1">
        <v>220043</v>
      </c>
      <c r="F9" s="1">
        <v>30</v>
      </c>
      <c r="G9" s="3">
        <v>8.9377083703335796</v>
      </c>
      <c r="H9" s="3">
        <v>1.0268562400000001</v>
      </c>
      <c r="I9" s="6">
        <v>3.0076904379689702</v>
      </c>
      <c r="J9" s="6">
        <v>0.812758028507233</v>
      </c>
      <c r="K9" s="1" t="s">
        <v>130</v>
      </c>
      <c r="L9" s="1">
        <v>1</v>
      </c>
      <c r="M9" s="1" t="s">
        <v>1</v>
      </c>
      <c r="N9" s="2">
        <v>43282</v>
      </c>
      <c r="O9" s="2">
        <v>43647</v>
      </c>
      <c r="P9" s="1" t="s">
        <v>17</v>
      </c>
    </row>
    <row r="10" spans="1:16" x14ac:dyDescent="0.2">
      <c r="A10" s="1">
        <v>7</v>
      </c>
      <c r="B10" s="1" t="s">
        <v>102</v>
      </c>
      <c r="C10" s="1" t="s">
        <v>103</v>
      </c>
      <c r="D10" s="1">
        <v>840</v>
      </c>
      <c r="E10" s="1">
        <v>477574</v>
      </c>
      <c r="F10" s="1">
        <v>16</v>
      </c>
      <c r="G10" s="3">
        <v>4.8051298679747001</v>
      </c>
      <c r="H10" s="3">
        <v>0.69022185700000005</v>
      </c>
      <c r="I10" s="6">
        <v>1.5393644421491599</v>
      </c>
      <c r="J10" s="6">
        <v>3.5427882671356201</v>
      </c>
      <c r="K10" s="1" t="s">
        <v>132</v>
      </c>
      <c r="L10" s="1">
        <v>4</v>
      </c>
      <c r="M10" s="1" t="s">
        <v>1</v>
      </c>
      <c r="N10" s="2">
        <v>43984</v>
      </c>
      <c r="O10" s="2">
        <v>44725</v>
      </c>
      <c r="P10" s="1" t="s">
        <v>2</v>
      </c>
    </row>
    <row r="11" spans="1:16" x14ac:dyDescent="0.2">
      <c r="A11" s="1">
        <v>8</v>
      </c>
      <c r="B11" s="1" t="s">
        <v>102</v>
      </c>
      <c r="C11" s="1" t="s">
        <v>101</v>
      </c>
      <c r="D11" s="1">
        <v>899</v>
      </c>
      <c r="E11" s="1">
        <v>348058</v>
      </c>
      <c r="F11" s="1">
        <v>11</v>
      </c>
      <c r="G11" s="3">
        <v>3.0186664530761198</v>
      </c>
      <c r="H11" s="3">
        <v>0.73870172599999995</v>
      </c>
      <c r="I11" s="6">
        <v>0.89447162007126302</v>
      </c>
      <c r="J11" s="6">
        <v>3.5427882671356201</v>
      </c>
      <c r="K11" s="1" t="s">
        <v>132</v>
      </c>
      <c r="L11" s="1">
        <v>4</v>
      </c>
      <c r="M11" s="1" t="s">
        <v>1</v>
      </c>
      <c r="N11" s="2">
        <v>43986</v>
      </c>
      <c r="O11" s="2">
        <v>44725</v>
      </c>
      <c r="P11" s="1" t="s">
        <v>2</v>
      </c>
    </row>
    <row r="12" spans="1:16" x14ac:dyDescent="0.2">
      <c r="A12" s="1">
        <v>9</v>
      </c>
      <c r="B12" s="1" t="s">
        <v>83</v>
      </c>
      <c r="C12" s="1" t="s">
        <v>100</v>
      </c>
      <c r="D12" s="1">
        <v>435</v>
      </c>
      <c r="E12" s="1">
        <v>322339</v>
      </c>
      <c r="F12" s="1">
        <v>15</v>
      </c>
      <c r="G12" s="3">
        <v>4.2691123058554998</v>
      </c>
      <c r="H12" s="3">
        <v>0.84685269299999999</v>
      </c>
      <c r="I12" s="6">
        <v>1.68876869156437</v>
      </c>
      <c r="J12" s="6">
        <v>1.28659856319427</v>
      </c>
      <c r="K12" s="1" t="s">
        <v>133</v>
      </c>
      <c r="L12" s="1">
        <v>3</v>
      </c>
      <c r="M12" s="1" t="s">
        <v>1</v>
      </c>
      <c r="N12" s="2">
        <v>43101</v>
      </c>
      <c r="O12" s="2">
        <v>43466</v>
      </c>
      <c r="P12" s="1" t="s">
        <v>7</v>
      </c>
    </row>
    <row r="13" spans="1:16" x14ac:dyDescent="0.2">
      <c r="A13" s="1">
        <v>10</v>
      </c>
      <c r="B13" s="1" t="s">
        <v>83</v>
      </c>
      <c r="C13" s="1" t="s">
        <v>99</v>
      </c>
      <c r="D13" s="1">
        <v>707</v>
      </c>
      <c r="E13" s="1">
        <v>349575</v>
      </c>
      <c r="F13" s="1">
        <v>33</v>
      </c>
      <c r="G13" s="3">
        <v>12.223349305274301</v>
      </c>
      <c r="H13" s="3">
        <v>0.67324173600000004</v>
      </c>
      <c r="I13" s="6">
        <v>4.2591935231790998</v>
      </c>
      <c r="J13" s="6">
        <v>1.3950841400059399</v>
      </c>
      <c r="K13" s="1" t="s">
        <v>133</v>
      </c>
      <c r="L13" s="1">
        <v>3</v>
      </c>
      <c r="M13" s="1" t="s">
        <v>1</v>
      </c>
      <c r="N13" s="2">
        <v>43986</v>
      </c>
      <c r="O13" s="2">
        <v>44942</v>
      </c>
      <c r="P13" s="1" t="s">
        <v>5</v>
      </c>
    </row>
    <row r="14" spans="1:16" x14ac:dyDescent="0.2">
      <c r="A14" s="1">
        <v>11</v>
      </c>
      <c r="B14" s="1" t="s">
        <v>83</v>
      </c>
      <c r="C14" s="1" t="s">
        <v>98</v>
      </c>
      <c r="D14" s="1">
        <v>906</v>
      </c>
      <c r="E14" s="1">
        <v>267498</v>
      </c>
      <c r="F14" s="1">
        <v>22</v>
      </c>
      <c r="G14" s="3">
        <v>6.4844868232086998</v>
      </c>
      <c r="H14" s="3">
        <v>1.4312796210000001</v>
      </c>
      <c r="I14" s="6">
        <v>2.2828441935914898</v>
      </c>
      <c r="J14" s="6">
        <v>0.75125384330749501</v>
      </c>
      <c r="K14" s="1" t="s">
        <v>133</v>
      </c>
      <c r="L14" s="1">
        <v>3</v>
      </c>
      <c r="M14" s="1" t="s">
        <v>1</v>
      </c>
      <c r="N14" s="2">
        <v>43282</v>
      </c>
      <c r="O14" s="2">
        <v>43647</v>
      </c>
      <c r="P14" s="1" t="s">
        <v>17</v>
      </c>
    </row>
    <row r="15" spans="1:16" x14ac:dyDescent="0.2">
      <c r="A15" s="1">
        <v>12</v>
      </c>
      <c r="B15" s="1" t="s">
        <v>83</v>
      </c>
      <c r="C15" s="1" t="s">
        <v>97</v>
      </c>
      <c r="D15" s="1">
        <v>1135</v>
      </c>
      <c r="E15" s="1">
        <v>469484</v>
      </c>
      <c r="F15" s="1">
        <v>30</v>
      </c>
      <c r="G15" s="3">
        <v>9.9823301726186795</v>
      </c>
      <c r="H15" s="3">
        <v>1.080805333</v>
      </c>
      <c r="I15" s="6">
        <v>3.36241858829416</v>
      </c>
      <c r="J15" s="6">
        <v>1.65587868018725</v>
      </c>
      <c r="K15" s="1" t="s">
        <v>133</v>
      </c>
      <c r="L15" s="1">
        <v>3</v>
      </c>
      <c r="M15" s="1" t="s">
        <v>1</v>
      </c>
      <c r="N15" s="2">
        <v>43986</v>
      </c>
      <c r="O15" s="2">
        <v>44946</v>
      </c>
      <c r="P15" s="1" t="s">
        <v>5</v>
      </c>
    </row>
    <row r="16" spans="1:16" x14ac:dyDescent="0.2">
      <c r="A16" s="1">
        <v>13</v>
      </c>
      <c r="B16" s="1" t="s">
        <v>83</v>
      </c>
      <c r="C16" s="1" t="s">
        <v>96</v>
      </c>
      <c r="D16" s="1">
        <v>950</v>
      </c>
      <c r="E16" s="1">
        <v>475366</v>
      </c>
      <c r="F16" s="1">
        <v>35</v>
      </c>
      <c r="G16" s="3">
        <v>10.9642240983265</v>
      </c>
      <c r="H16" s="3">
        <v>0.90463882500000004</v>
      </c>
      <c r="I16" s="6">
        <v>3.8044087304188401</v>
      </c>
      <c r="J16" s="6">
        <v>1.5055003712752899</v>
      </c>
      <c r="K16" s="1" t="s">
        <v>133</v>
      </c>
      <c r="L16" s="1">
        <v>3</v>
      </c>
      <c r="M16" s="1" t="s">
        <v>1</v>
      </c>
      <c r="N16" s="2">
        <v>43986</v>
      </c>
      <c r="O16" s="2">
        <v>44942</v>
      </c>
      <c r="P16" s="1" t="s">
        <v>5</v>
      </c>
    </row>
    <row r="17" spans="1:16" x14ac:dyDescent="0.2">
      <c r="A17" s="1">
        <v>14</v>
      </c>
      <c r="B17" s="1" t="s">
        <v>83</v>
      </c>
      <c r="C17" s="1" t="s">
        <v>95</v>
      </c>
      <c r="D17" s="1">
        <v>620</v>
      </c>
      <c r="E17" s="1">
        <v>310743</v>
      </c>
      <c r="F17" s="1">
        <v>32</v>
      </c>
      <c r="G17" s="3">
        <v>10.2593474655822</v>
      </c>
      <c r="H17" s="3">
        <v>1.207008436</v>
      </c>
      <c r="I17" s="6">
        <v>3.5067319615399501</v>
      </c>
      <c r="J17" s="6">
        <v>1.28659856319427</v>
      </c>
      <c r="K17" s="1" t="s">
        <v>133</v>
      </c>
      <c r="L17" s="1">
        <v>3</v>
      </c>
      <c r="M17" s="1" t="s">
        <v>1</v>
      </c>
      <c r="N17" s="2">
        <v>43101</v>
      </c>
      <c r="O17" s="2">
        <v>43466</v>
      </c>
      <c r="P17" s="1" t="s">
        <v>7</v>
      </c>
    </row>
    <row r="18" spans="1:16" x14ac:dyDescent="0.2">
      <c r="A18" s="1">
        <v>15</v>
      </c>
      <c r="B18" s="1" t="s">
        <v>83</v>
      </c>
      <c r="C18" s="1" t="s">
        <v>94</v>
      </c>
      <c r="D18" s="1">
        <v>1220</v>
      </c>
      <c r="E18" s="1">
        <v>463076</v>
      </c>
      <c r="F18" s="1">
        <v>39</v>
      </c>
      <c r="G18" s="3">
        <v>12.5556723191212</v>
      </c>
      <c r="H18" s="3">
        <v>0.87927927900000002</v>
      </c>
      <c r="I18" s="6">
        <v>4.3394823797939504</v>
      </c>
      <c r="J18" s="6">
        <v>1.7218943834304801</v>
      </c>
      <c r="K18" s="1" t="s">
        <v>133</v>
      </c>
      <c r="L18" s="1">
        <v>3</v>
      </c>
      <c r="M18" s="1" t="s">
        <v>1</v>
      </c>
      <c r="N18" s="2">
        <v>43986</v>
      </c>
      <c r="O18" s="2">
        <v>44371</v>
      </c>
      <c r="P18" s="1" t="s">
        <v>12</v>
      </c>
    </row>
    <row r="19" spans="1:16" x14ac:dyDescent="0.2">
      <c r="A19" s="1">
        <v>16</v>
      </c>
      <c r="B19" s="1" t="s">
        <v>83</v>
      </c>
      <c r="C19" s="1" t="s">
        <v>93</v>
      </c>
      <c r="D19" s="1">
        <v>1008</v>
      </c>
      <c r="E19" s="1">
        <v>402769</v>
      </c>
      <c r="F19" s="1">
        <v>36</v>
      </c>
      <c r="G19" s="3">
        <v>12.031486403662701</v>
      </c>
      <c r="H19" s="3">
        <v>0.95986940600000004</v>
      </c>
      <c r="I19" s="6">
        <v>4.0723952607550196</v>
      </c>
      <c r="J19" s="6">
        <v>0.81336493128290799</v>
      </c>
      <c r="K19" s="1" t="s">
        <v>133</v>
      </c>
      <c r="L19" s="1">
        <v>3</v>
      </c>
      <c r="M19" s="1" t="s">
        <v>1</v>
      </c>
      <c r="N19" s="2">
        <v>43986</v>
      </c>
      <c r="O19" s="2">
        <v>44946</v>
      </c>
      <c r="P19" s="1" t="s">
        <v>5</v>
      </c>
    </row>
    <row r="20" spans="1:16" x14ac:dyDescent="0.2">
      <c r="A20" s="1">
        <v>17</v>
      </c>
      <c r="B20" s="1" t="s">
        <v>83</v>
      </c>
      <c r="C20" s="1" t="s">
        <v>92</v>
      </c>
      <c r="D20" s="1">
        <v>693</v>
      </c>
      <c r="E20" s="1">
        <v>245486</v>
      </c>
      <c r="F20" s="1">
        <v>20</v>
      </c>
      <c r="G20" s="3">
        <v>5.4385089662516499</v>
      </c>
      <c r="H20" s="3">
        <v>1.3491239450000001</v>
      </c>
      <c r="I20" s="6">
        <v>1.72098523487129</v>
      </c>
      <c r="J20" s="6">
        <v>1.28659856319427</v>
      </c>
      <c r="K20" s="1" t="s">
        <v>133</v>
      </c>
      <c r="L20" s="1">
        <v>3</v>
      </c>
      <c r="M20" s="1" t="s">
        <v>1</v>
      </c>
      <c r="N20" s="2">
        <v>43101</v>
      </c>
      <c r="O20" s="2">
        <v>43466</v>
      </c>
      <c r="P20" s="1" t="s">
        <v>7</v>
      </c>
    </row>
    <row r="21" spans="1:16" x14ac:dyDescent="0.2">
      <c r="A21" s="1">
        <v>18</v>
      </c>
      <c r="B21" s="1" t="s">
        <v>83</v>
      </c>
      <c r="C21" s="1" t="s">
        <v>91</v>
      </c>
      <c r="D21" s="1">
        <v>1357</v>
      </c>
      <c r="E21" s="1">
        <v>505804</v>
      </c>
      <c r="F21" s="1">
        <v>31</v>
      </c>
      <c r="G21" s="3">
        <v>10.859413407644199</v>
      </c>
      <c r="H21" s="3">
        <v>0.97801801799999999</v>
      </c>
      <c r="I21" s="6">
        <v>3.8555820495381901</v>
      </c>
      <c r="J21" s="6">
        <v>1.7218943834304801</v>
      </c>
      <c r="K21" s="1" t="s">
        <v>133</v>
      </c>
      <c r="L21" s="1">
        <v>3</v>
      </c>
      <c r="M21" s="1" t="s">
        <v>1</v>
      </c>
      <c r="N21" s="2">
        <v>43986</v>
      </c>
      <c r="O21" s="2">
        <v>44371</v>
      </c>
      <c r="P21" s="1" t="s">
        <v>12</v>
      </c>
    </row>
    <row r="22" spans="1:16" x14ac:dyDescent="0.2">
      <c r="A22" s="1">
        <v>19</v>
      </c>
      <c r="B22" s="1" t="s">
        <v>83</v>
      </c>
      <c r="C22" s="1" t="s">
        <v>90</v>
      </c>
      <c r="D22" s="1">
        <v>1069</v>
      </c>
      <c r="E22" s="1">
        <v>366781</v>
      </c>
      <c r="F22" s="1">
        <v>16</v>
      </c>
      <c r="G22" s="3">
        <v>5.5565837696645799</v>
      </c>
      <c r="H22" s="3">
        <v>1.0179567410000001</v>
      </c>
      <c r="I22" s="6">
        <v>1.98485641727337</v>
      </c>
      <c r="J22" s="6">
        <v>1.2899354333152599</v>
      </c>
      <c r="K22" s="1" t="s">
        <v>133</v>
      </c>
      <c r="L22" s="1">
        <v>3</v>
      </c>
      <c r="M22" s="1" t="s">
        <v>1</v>
      </c>
      <c r="N22" s="2">
        <v>43986</v>
      </c>
      <c r="O22" s="2">
        <v>44945</v>
      </c>
      <c r="P22" s="1" t="s">
        <v>5</v>
      </c>
    </row>
    <row r="23" spans="1:16" x14ac:dyDescent="0.2">
      <c r="A23" s="1">
        <v>20</v>
      </c>
      <c r="B23" s="1" t="s">
        <v>83</v>
      </c>
      <c r="C23" s="1" t="s">
        <v>89</v>
      </c>
      <c r="D23" s="1">
        <v>1145</v>
      </c>
      <c r="E23" s="1">
        <v>380170</v>
      </c>
      <c r="F23" s="1">
        <v>32</v>
      </c>
      <c r="G23" s="3">
        <v>11.329160135576601</v>
      </c>
      <c r="H23" s="3">
        <v>0.94083812700000002</v>
      </c>
      <c r="I23" s="6">
        <v>3.7791304607196401</v>
      </c>
      <c r="J23" s="6">
        <v>1.7473504543304399</v>
      </c>
      <c r="K23" s="1" t="s">
        <v>133</v>
      </c>
      <c r="L23" s="1">
        <v>3</v>
      </c>
      <c r="M23" s="1" t="s">
        <v>1</v>
      </c>
      <c r="N23" s="2">
        <v>43986</v>
      </c>
      <c r="O23" s="2">
        <v>44714</v>
      </c>
      <c r="P23" s="1" t="s">
        <v>2</v>
      </c>
    </row>
    <row r="24" spans="1:16" x14ac:dyDescent="0.2">
      <c r="A24" s="1">
        <v>21</v>
      </c>
      <c r="B24" s="1" t="s">
        <v>83</v>
      </c>
      <c r="C24" s="1" t="s">
        <v>88</v>
      </c>
      <c r="D24" s="1">
        <v>1262</v>
      </c>
      <c r="E24" s="1">
        <v>517855</v>
      </c>
      <c r="F24" s="1">
        <v>29</v>
      </c>
      <c r="G24" s="3">
        <v>9.7269072540353001</v>
      </c>
      <c r="H24" s="3">
        <v>1.0369761710000001</v>
      </c>
      <c r="I24" s="6">
        <v>3.3733209855123198</v>
      </c>
      <c r="J24" s="6">
        <v>1.7473504543304399</v>
      </c>
      <c r="K24" s="1" t="s">
        <v>133</v>
      </c>
      <c r="L24" s="1">
        <v>3</v>
      </c>
      <c r="M24" s="1" t="s">
        <v>1</v>
      </c>
      <c r="N24" s="2">
        <v>43986</v>
      </c>
      <c r="O24" s="2">
        <v>44714</v>
      </c>
      <c r="P24" s="1" t="s">
        <v>2</v>
      </c>
    </row>
    <row r="25" spans="1:16" x14ac:dyDescent="0.2">
      <c r="A25" s="1">
        <v>22</v>
      </c>
      <c r="B25" s="1" t="s">
        <v>83</v>
      </c>
      <c r="C25" s="1" t="s">
        <v>87</v>
      </c>
      <c r="D25" s="1">
        <v>973</v>
      </c>
      <c r="E25" s="1">
        <v>404208</v>
      </c>
      <c r="F25" s="1">
        <v>38</v>
      </c>
      <c r="G25" s="3">
        <v>12.946450228352299</v>
      </c>
      <c r="H25" s="3">
        <v>0.92654060699999996</v>
      </c>
      <c r="I25" s="6">
        <v>4.4795520698042202</v>
      </c>
      <c r="J25" s="6">
        <v>1.7927246876748999</v>
      </c>
      <c r="K25" s="1" t="s">
        <v>133</v>
      </c>
      <c r="L25" s="1">
        <v>3</v>
      </c>
      <c r="M25" s="1" t="s">
        <v>1</v>
      </c>
      <c r="N25" s="2">
        <v>43986</v>
      </c>
      <c r="O25" s="2">
        <v>44945</v>
      </c>
      <c r="P25" s="1" t="s">
        <v>5</v>
      </c>
    </row>
    <row r="26" spans="1:16" x14ac:dyDescent="0.2">
      <c r="A26" s="1">
        <v>23</v>
      </c>
      <c r="B26" s="1" t="s">
        <v>83</v>
      </c>
      <c r="C26" s="1" t="s">
        <v>86</v>
      </c>
      <c r="D26" s="1">
        <v>724</v>
      </c>
      <c r="E26" s="1">
        <v>192343</v>
      </c>
      <c r="F26" s="1">
        <v>31</v>
      </c>
      <c r="G26" s="3">
        <v>9.5994295797769293</v>
      </c>
      <c r="H26" s="3">
        <v>1.1437598739999999</v>
      </c>
      <c r="I26" s="6">
        <v>3.29945053619605</v>
      </c>
      <c r="J26" s="6">
        <v>0.75125384330749501</v>
      </c>
      <c r="K26" s="1" t="s">
        <v>133</v>
      </c>
      <c r="L26" s="1">
        <v>3</v>
      </c>
      <c r="M26" s="1" t="s">
        <v>1</v>
      </c>
      <c r="N26" s="2">
        <v>43282</v>
      </c>
      <c r="O26" s="2">
        <v>43647</v>
      </c>
      <c r="P26" s="1" t="s">
        <v>17</v>
      </c>
    </row>
    <row r="27" spans="1:16" x14ac:dyDescent="0.2">
      <c r="A27" s="1">
        <v>24</v>
      </c>
      <c r="B27" s="1" t="s">
        <v>83</v>
      </c>
      <c r="C27" s="1" t="s">
        <v>85</v>
      </c>
      <c r="D27" s="1">
        <v>639</v>
      </c>
      <c r="E27" s="1">
        <v>242997</v>
      </c>
      <c r="F27" s="1">
        <v>27</v>
      </c>
      <c r="G27" s="3">
        <v>8.16859737071273</v>
      </c>
      <c r="H27" s="3">
        <v>1.009478673</v>
      </c>
      <c r="I27" s="6">
        <v>2.8150194564287898</v>
      </c>
      <c r="J27" s="6">
        <v>0.75125384330749501</v>
      </c>
      <c r="K27" s="1" t="s">
        <v>133</v>
      </c>
      <c r="L27" s="1">
        <v>3</v>
      </c>
      <c r="M27" s="1" t="s">
        <v>1</v>
      </c>
      <c r="N27" s="2">
        <v>43282</v>
      </c>
      <c r="O27" s="2">
        <v>43647</v>
      </c>
      <c r="P27" s="1" t="s">
        <v>17</v>
      </c>
    </row>
    <row r="28" spans="1:16" x14ac:dyDescent="0.2">
      <c r="A28" s="1">
        <v>25</v>
      </c>
      <c r="B28" s="1" t="s">
        <v>83</v>
      </c>
      <c r="C28" s="1" t="s">
        <v>84</v>
      </c>
      <c r="D28" s="1">
        <v>1011</v>
      </c>
      <c r="E28" s="1">
        <v>395842</v>
      </c>
      <c r="F28" s="1">
        <v>41</v>
      </c>
      <c r="G28" s="3">
        <v>13.9423721248028</v>
      </c>
      <c r="H28" s="3">
        <v>0.96272616</v>
      </c>
      <c r="I28" s="6">
        <v>4.7915197692228197</v>
      </c>
      <c r="J28" s="6">
        <v>1.0022281533880899</v>
      </c>
      <c r="K28" s="1" t="s">
        <v>133</v>
      </c>
      <c r="L28" s="1">
        <v>3</v>
      </c>
      <c r="M28" s="1" t="s">
        <v>1</v>
      </c>
      <c r="N28" s="2">
        <v>43986</v>
      </c>
      <c r="O28" s="2">
        <v>44943</v>
      </c>
      <c r="P28" s="1" t="s">
        <v>5</v>
      </c>
    </row>
    <row r="29" spans="1:16" x14ac:dyDescent="0.2">
      <c r="A29" s="1">
        <v>26</v>
      </c>
      <c r="B29" s="1" t="s">
        <v>83</v>
      </c>
      <c r="C29" s="1" t="s">
        <v>82</v>
      </c>
      <c r="D29" s="1">
        <v>863</v>
      </c>
      <c r="E29" s="1">
        <v>356554</v>
      </c>
      <c r="F29" s="1">
        <v>33</v>
      </c>
      <c r="G29" s="3">
        <v>11.810023366059101</v>
      </c>
      <c r="H29" s="3">
        <v>0.82179295299999999</v>
      </c>
      <c r="I29" s="6">
        <v>4.0662085609406597</v>
      </c>
      <c r="J29" s="6">
        <v>1.3950841400059399</v>
      </c>
      <c r="K29" s="1" t="s">
        <v>133</v>
      </c>
      <c r="L29" s="1">
        <v>3</v>
      </c>
      <c r="M29" s="1" t="s">
        <v>1</v>
      </c>
      <c r="N29" s="2">
        <v>43986</v>
      </c>
      <c r="O29" s="2">
        <v>44943</v>
      </c>
      <c r="P29" s="1" t="s">
        <v>5</v>
      </c>
    </row>
    <row r="30" spans="1:16" x14ac:dyDescent="0.2">
      <c r="A30" s="1">
        <v>27</v>
      </c>
      <c r="B30" s="1" t="s">
        <v>71</v>
      </c>
      <c r="C30" s="1" t="s">
        <v>81</v>
      </c>
      <c r="D30" s="1">
        <v>630</v>
      </c>
      <c r="E30" s="1">
        <v>313844</v>
      </c>
      <c r="F30" s="1">
        <v>16</v>
      </c>
      <c r="G30" s="3">
        <v>5.1837528316167898</v>
      </c>
      <c r="H30" s="3">
        <v>1.3725490199999999</v>
      </c>
      <c r="I30" s="6">
        <v>1.6535961614061601</v>
      </c>
      <c r="J30" s="6">
        <v>2.1965806484222399</v>
      </c>
      <c r="K30" s="1" t="s">
        <v>134</v>
      </c>
      <c r="L30" s="1">
        <v>2</v>
      </c>
      <c r="M30" s="1" t="s">
        <v>1</v>
      </c>
      <c r="N30" s="2">
        <v>42125</v>
      </c>
      <c r="O30" s="2">
        <v>43009</v>
      </c>
      <c r="P30" s="1" t="s">
        <v>23</v>
      </c>
    </row>
    <row r="31" spans="1:16" x14ac:dyDescent="0.2">
      <c r="A31" s="1">
        <v>28</v>
      </c>
      <c r="B31" s="1" t="s">
        <v>71</v>
      </c>
      <c r="C31" s="1" t="s">
        <v>80</v>
      </c>
      <c r="D31" s="1">
        <v>412</v>
      </c>
      <c r="E31" s="1">
        <v>254488</v>
      </c>
      <c r="F31" s="1">
        <v>13</v>
      </c>
      <c r="G31" s="3">
        <v>4.4340098628620304</v>
      </c>
      <c r="H31" s="3">
        <v>0.80207657399999999</v>
      </c>
      <c r="I31" s="6">
        <v>1.3555476139168099</v>
      </c>
      <c r="J31" s="6">
        <v>3.2054383754730198</v>
      </c>
      <c r="K31" s="1" t="s">
        <v>134</v>
      </c>
      <c r="L31" s="1">
        <v>2</v>
      </c>
      <c r="M31" s="1" t="s">
        <v>1</v>
      </c>
      <c r="N31" s="2">
        <v>43101</v>
      </c>
      <c r="O31" s="2">
        <v>43466</v>
      </c>
      <c r="P31" s="1" t="s">
        <v>7</v>
      </c>
    </row>
    <row r="32" spans="1:16" x14ac:dyDescent="0.2">
      <c r="A32" s="1">
        <v>29</v>
      </c>
      <c r="B32" s="1" t="s">
        <v>71</v>
      </c>
      <c r="C32" s="1" t="s">
        <v>79</v>
      </c>
      <c r="D32" s="1">
        <v>493</v>
      </c>
      <c r="E32" s="1">
        <v>234702</v>
      </c>
      <c r="F32" s="1">
        <v>27</v>
      </c>
      <c r="G32" s="3">
        <v>8.3789385472282998</v>
      </c>
      <c r="H32" s="3">
        <v>0.77883096399999996</v>
      </c>
      <c r="I32" s="6">
        <v>2.7213870217637899</v>
      </c>
      <c r="J32" s="6">
        <v>4.2872109413146999</v>
      </c>
      <c r="K32" s="1" t="s">
        <v>134</v>
      </c>
      <c r="L32" s="1">
        <v>2</v>
      </c>
      <c r="M32" s="1" t="s">
        <v>1</v>
      </c>
      <c r="N32" s="2">
        <v>43282</v>
      </c>
      <c r="O32" s="2">
        <v>43647</v>
      </c>
      <c r="P32" s="1" t="s">
        <v>17</v>
      </c>
    </row>
    <row r="33" spans="1:16" x14ac:dyDescent="0.2">
      <c r="A33" s="1">
        <v>30</v>
      </c>
      <c r="B33" s="1" t="s">
        <v>71</v>
      </c>
      <c r="C33" s="1" t="s">
        <v>78</v>
      </c>
      <c r="D33" s="1">
        <v>348</v>
      </c>
      <c r="E33" s="1">
        <v>261589</v>
      </c>
      <c r="F33" s="1">
        <v>12</v>
      </c>
      <c r="G33" s="3">
        <v>4.0484079284191603</v>
      </c>
      <c r="H33" s="3">
        <v>0.677482154</v>
      </c>
      <c r="I33" s="6">
        <v>1.4965110102800101</v>
      </c>
      <c r="J33" s="6">
        <v>3.2054383754730198</v>
      </c>
      <c r="K33" s="1" t="s">
        <v>134</v>
      </c>
      <c r="L33" s="1">
        <v>2</v>
      </c>
      <c r="M33" s="1" t="s">
        <v>1</v>
      </c>
      <c r="N33" s="2">
        <v>43101</v>
      </c>
      <c r="O33" s="2">
        <v>43466</v>
      </c>
      <c r="P33" s="1" t="s">
        <v>7</v>
      </c>
    </row>
    <row r="34" spans="1:16" x14ac:dyDescent="0.2">
      <c r="A34" s="1">
        <v>31</v>
      </c>
      <c r="B34" s="1" t="s">
        <v>71</v>
      </c>
      <c r="C34" s="1" t="s">
        <v>77</v>
      </c>
      <c r="D34" s="1">
        <v>672</v>
      </c>
      <c r="E34" s="1">
        <v>238020</v>
      </c>
      <c r="F34" s="1">
        <v>12</v>
      </c>
      <c r="G34" s="3">
        <v>4.3358569747993299</v>
      </c>
      <c r="H34" s="3">
        <v>1.0616113739999999</v>
      </c>
      <c r="I34" s="6">
        <v>1.29716781457177</v>
      </c>
      <c r="J34" s="6">
        <v>4.2872109413146999</v>
      </c>
      <c r="K34" s="1" t="s">
        <v>134</v>
      </c>
      <c r="L34" s="1">
        <v>2</v>
      </c>
      <c r="M34" s="1" t="s">
        <v>1</v>
      </c>
      <c r="N34" s="2">
        <v>43282</v>
      </c>
      <c r="O34" s="2">
        <v>43647</v>
      </c>
      <c r="P34" s="1" t="s">
        <v>17</v>
      </c>
    </row>
    <row r="35" spans="1:16" x14ac:dyDescent="0.2">
      <c r="A35" s="1">
        <v>32</v>
      </c>
      <c r="B35" s="1" t="s">
        <v>71</v>
      </c>
      <c r="C35" s="1" t="s">
        <v>76</v>
      </c>
      <c r="D35" s="1">
        <v>377</v>
      </c>
      <c r="E35" s="1">
        <v>264938</v>
      </c>
      <c r="F35" s="1">
        <v>12</v>
      </c>
      <c r="G35" s="3">
        <v>4.4955177289762203</v>
      </c>
      <c r="H35" s="3">
        <v>0.82135076299999998</v>
      </c>
      <c r="I35" s="6">
        <v>1.19565336996199</v>
      </c>
      <c r="J35" s="6">
        <v>2.1965806484222399</v>
      </c>
      <c r="K35" s="1" t="s">
        <v>134</v>
      </c>
      <c r="L35" s="1">
        <v>2</v>
      </c>
      <c r="M35" s="1" t="s">
        <v>1</v>
      </c>
      <c r="N35" s="2">
        <v>42125</v>
      </c>
      <c r="O35" s="2">
        <v>43009</v>
      </c>
      <c r="P35" s="1" t="s">
        <v>23</v>
      </c>
    </row>
    <row r="36" spans="1:16" x14ac:dyDescent="0.2">
      <c r="A36" s="1">
        <v>33</v>
      </c>
      <c r="B36" s="1" t="s">
        <v>71</v>
      </c>
      <c r="C36" s="1" t="s">
        <v>75</v>
      </c>
      <c r="D36" s="1">
        <v>1063</v>
      </c>
      <c r="E36" s="1">
        <v>454322</v>
      </c>
      <c r="F36" s="1">
        <v>16</v>
      </c>
      <c r="G36" s="3">
        <v>4.4387368955301403</v>
      </c>
      <c r="H36" s="3">
        <v>0.87345932599999998</v>
      </c>
      <c r="I36" s="6">
        <v>1.48428920034878</v>
      </c>
      <c r="J36" s="6">
        <v>3.3309590816497798</v>
      </c>
      <c r="K36" s="1" t="s">
        <v>134</v>
      </c>
      <c r="L36" s="1">
        <v>2</v>
      </c>
      <c r="M36" s="1" t="s">
        <v>1</v>
      </c>
      <c r="N36" s="2">
        <v>43984</v>
      </c>
      <c r="O36" s="2">
        <v>44719</v>
      </c>
      <c r="P36" s="1" t="s">
        <v>2</v>
      </c>
    </row>
    <row r="37" spans="1:16" x14ac:dyDescent="0.2">
      <c r="A37" s="1">
        <v>34</v>
      </c>
      <c r="B37" s="1" t="s">
        <v>71</v>
      </c>
      <c r="C37" s="1" t="s">
        <v>74</v>
      </c>
      <c r="D37" s="1">
        <v>636</v>
      </c>
      <c r="E37" s="1">
        <v>307549</v>
      </c>
      <c r="F37" s="1">
        <v>17</v>
      </c>
      <c r="G37" s="3">
        <v>5.7990040221588801</v>
      </c>
      <c r="H37" s="3">
        <v>1.0047393360000001</v>
      </c>
      <c r="I37" s="6">
        <v>1.7549471788939699</v>
      </c>
      <c r="J37" s="6">
        <v>4.2872109413146999</v>
      </c>
      <c r="K37" s="1" t="s">
        <v>134</v>
      </c>
      <c r="L37" s="1">
        <v>2</v>
      </c>
      <c r="M37" s="1" t="s">
        <v>1</v>
      </c>
      <c r="N37" s="2">
        <v>43282</v>
      </c>
      <c r="O37" s="2">
        <v>43647</v>
      </c>
      <c r="P37" s="1" t="s">
        <v>17</v>
      </c>
    </row>
    <row r="38" spans="1:16" x14ac:dyDescent="0.2">
      <c r="A38" s="1">
        <v>35</v>
      </c>
      <c r="B38" s="1" t="s">
        <v>71</v>
      </c>
      <c r="C38" s="1" t="s">
        <v>73</v>
      </c>
      <c r="D38" s="1">
        <v>374</v>
      </c>
      <c r="E38" s="1">
        <v>271855</v>
      </c>
      <c r="F38" s="1">
        <v>19</v>
      </c>
      <c r="G38" s="3">
        <v>6.6664448182202003</v>
      </c>
      <c r="H38" s="3">
        <v>0.72809863699999999</v>
      </c>
      <c r="I38" s="6">
        <v>2.25403469878861</v>
      </c>
      <c r="J38" s="6">
        <v>3.2054383754730198</v>
      </c>
      <c r="K38" s="1" t="s">
        <v>134</v>
      </c>
      <c r="L38" s="1">
        <v>2</v>
      </c>
      <c r="M38" s="1" t="s">
        <v>1</v>
      </c>
      <c r="N38" s="2">
        <v>43101</v>
      </c>
      <c r="O38" s="2">
        <v>43466</v>
      </c>
      <c r="P38" s="1" t="s">
        <v>7</v>
      </c>
    </row>
    <row r="39" spans="1:16" x14ac:dyDescent="0.2">
      <c r="A39" s="1">
        <v>36</v>
      </c>
      <c r="B39" s="1" t="s">
        <v>71</v>
      </c>
      <c r="C39" s="1" t="s">
        <v>72</v>
      </c>
      <c r="D39" s="1">
        <v>470</v>
      </c>
      <c r="E39" s="1">
        <v>223368</v>
      </c>
      <c r="F39" s="1">
        <v>12</v>
      </c>
      <c r="G39" s="3">
        <v>4.6220655162964599</v>
      </c>
      <c r="H39" s="3">
        <v>1.023965142</v>
      </c>
      <c r="I39" s="6">
        <v>1.1224511282713101</v>
      </c>
      <c r="J39" s="6">
        <v>2.1965806484222399</v>
      </c>
      <c r="K39" s="1" t="s">
        <v>134</v>
      </c>
      <c r="L39" s="1">
        <v>2</v>
      </c>
      <c r="M39" s="1" t="s">
        <v>1</v>
      </c>
      <c r="N39" s="2">
        <v>42125</v>
      </c>
      <c r="O39" s="2">
        <v>43009</v>
      </c>
      <c r="P39" s="1" t="s">
        <v>23</v>
      </c>
    </row>
    <row r="40" spans="1:16" x14ac:dyDescent="0.2">
      <c r="A40" s="1">
        <v>37</v>
      </c>
      <c r="B40" s="1" t="s">
        <v>71</v>
      </c>
      <c r="C40" s="1" t="s">
        <v>70</v>
      </c>
      <c r="D40" s="1">
        <v>958</v>
      </c>
      <c r="E40" s="1">
        <v>485599</v>
      </c>
      <c r="F40" s="1">
        <v>15</v>
      </c>
      <c r="G40" s="3">
        <v>3.9857742925875201</v>
      </c>
      <c r="H40" s="3">
        <v>0.78718159399999998</v>
      </c>
      <c r="I40" s="6">
        <v>1.4114311420594099</v>
      </c>
      <c r="J40" s="6">
        <v>3.3309590816497798</v>
      </c>
      <c r="K40" s="1" t="s">
        <v>134</v>
      </c>
      <c r="L40" s="1">
        <v>2</v>
      </c>
      <c r="M40" s="1" t="s">
        <v>1</v>
      </c>
      <c r="N40" s="2">
        <v>43986</v>
      </c>
      <c r="O40" s="2">
        <v>44719</v>
      </c>
      <c r="P40" s="1" t="s">
        <v>2</v>
      </c>
    </row>
    <row r="41" spans="1:16" x14ac:dyDescent="0.2">
      <c r="A41" s="1">
        <v>38</v>
      </c>
      <c r="B41" s="1" t="s">
        <v>67</v>
      </c>
      <c r="C41" s="1" t="s">
        <v>69</v>
      </c>
      <c r="D41" s="1">
        <v>609</v>
      </c>
      <c r="E41" s="1">
        <v>307655</v>
      </c>
      <c r="F41" s="1">
        <v>22</v>
      </c>
      <c r="G41" s="3">
        <v>6.9038296498026996</v>
      </c>
      <c r="H41" s="3">
        <v>1.326797386</v>
      </c>
      <c r="I41" s="6">
        <v>2.4198132255670601</v>
      </c>
      <c r="J41" s="6">
        <v>1.5279853343963601</v>
      </c>
      <c r="K41" s="1" t="s">
        <v>134</v>
      </c>
      <c r="L41" s="1">
        <v>2</v>
      </c>
      <c r="M41" s="1" t="s">
        <v>1</v>
      </c>
      <c r="N41" s="2">
        <v>42125</v>
      </c>
      <c r="O41" s="2">
        <v>43009</v>
      </c>
      <c r="P41" s="1" t="s">
        <v>23</v>
      </c>
    </row>
    <row r="42" spans="1:16" x14ac:dyDescent="0.2">
      <c r="A42" s="1">
        <v>39</v>
      </c>
      <c r="B42" s="1" t="s">
        <v>67</v>
      </c>
      <c r="C42" s="1" t="s">
        <v>68</v>
      </c>
      <c r="D42" s="1">
        <v>412</v>
      </c>
      <c r="E42" s="1">
        <v>230865</v>
      </c>
      <c r="F42" s="1">
        <v>10</v>
      </c>
      <c r="G42" s="3">
        <v>2.99248063381066</v>
      </c>
      <c r="H42" s="3">
        <v>0.89760348599999995</v>
      </c>
      <c r="I42" s="6">
        <v>1.3918193761486899</v>
      </c>
      <c r="J42" s="6">
        <v>1.5279853343963601</v>
      </c>
      <c r="K42" s="1" t="s">
        <v>134</v>
      </c>
      <c r="L42" s="1">
        <v>2</v>
      </c>
      <c r="M42" s="1" t="s">
        <v>1</v>
      </c>
      <c r="N42" s="2">
        <v>42125</v>
      </c>
      <c r="O42" s="2">
        <v>43009</v>
      </c>
      <c r="P42" s="1" t="s">
        <v>23</v>
      </c>
    </row>
    <row r="43" spans="1:16" x14ac:dyDescent="0.2">
      <c r="A43" s="1">
        <v>40</v>
      </c>
      <c r="B43" s="1" t="s">
        <v>67</v>
      </c>
      <c r="C43" s="1" t="s">
        <v>66</v>
      </c>
      <c r="D43" s="3" t="s">
        <v>157</v>
      </c>
      <c r="E43" s="3" t="s">
        <v>157</v>
      </c>
      <c r="F43" s="1">
        <v>16</v>
      </c>
      <c r="G43" s="3">
        <v>4.89951233545262</v>
      </c>
      <c r="H43" s="3" t="s">
        <v>157</v>
      </c>
      <c r="I43" s="6">
        <v>2.04961763298336</v>
      </c>
      <c r="J43" s="6">
        <v>1.5279853343963601</v>
      </c>
      <c r="K43" s="1" t="s">
        <v>134</v>
      </c>
      <c r="L43" s="1">
        <v>2</v>
      </c>
      <c r="M43" s="1" t="s">
        <v>65</v>
      </c>
      <c r="N43" s="2">
        <v>42125</v>
      </c>
      <c r="O43" s="2">
        <v>43009</v>
      </c>
      <c r="P43" s="1" t="s">
        <v>23</v>
      </c>
    </row>
    <row r="44" spans="1:16" x14ac:dyDescent="0.2">
      <c r="A44" s="1">
        <v>41</v>
      </c>
      <c r="B44" s="1" t="s">
        <v>63</v>
      </c>
      <c r="C44" s="1" t="s">
        <v>64</v>
      </c>
      <c r="D44" s="1">
        <v>1052</v>
      </c>
      <c r="E44" s="1">
        <v>465816</v>
      </c>
      <c r="F44" s="1">
        <v>37</v>
      </c>
      <c r="G44" s="3">
        <v>12.1584055760447</v>
      </c>
      <c r="H44" s="3">
        <v>0.86442070699999995</v>
      </c>
      <c r="I44" s="6">
        <v>4.2024272146586501</v>
      </c>
      <c r="J44" s="6">
        <v>1.86730396747589</v>
      </c>
      <c r="K44" s="1" t="s">
        <v>133</v>
      </c>
      <c r="L44" s="1">
        <v>3</v>
      </c>
      <c r="M44" s="1" t="s">
        <v>1</v>
      </c>
      <c r="N44" s="2">
        <v>43984</v>
      </c>
      <c r="O44" s="2">
        <v>44713</v>
      </c>
      <c r="P44" s="1" t="s">
        <v>2</v>
      </c>
    </row>
    <row r="45" spans="1:16" x14ac:dyDescent="0.2">
      <c r="A45" s="1">
        <v>42</v>
      </c>
      <c r="B45" s="1" t="s">
        <v>63</v>
      </c>
      <c r="C45" s="1" t="s">
        <v>62</v>
      </c>
      <c r="D45" s="1">
        <v>1140</v>
      </c>
      <c r="E45" s="1">
        <v>469650</v>
      </c>
      <c r="F45" s="1">
        <v>39</v>
      </c>
      <c r="G45" s="3">
        <v>13.565615648443</v>
      </c>
      <c r="H45" s="3">
        <v>0.93672966300000005</v>
      </c>
      <c r="I45" s="6">
        <v>4.6840474703566803</v>
      </c>
      <c r="J45" s="6">
        <v>1.86730396747589</v>
      </c>
      <c r="K45" s="1" t="s">
        <v>133</v>
      </c>
      <c r="L45" s="1">
        <v>3</v>
      </c>
      <c r="M45" s="1" t="s">
        <v>1</v>
      </c>
      <c r="N45" s="2">
        <v>43986</v>
      </c>
      <c r="O45" s="2">
        <v>44713</v>
      </c>
      <c r="P45" s="1" t="s">
        <v>2</v>
      </c>
    </row>
    <row r="46" spans="1:16" x14ac:dyDescent="0.2">
      <c r="A46" s="1">
        <v>43</v>
      </c>
      <c r="B46" s="1" t="s">
        <v>60</v>
      </c>
      <c r="C46" s="1" t="s">
        <v>61</v>
      </c>
      <c r="D46" s="1">
        <v>1128</v>
      </c>
      <c r="E46" s="1">
        <v>488510</v>
      </c>
      <c r="F46" s="1">
        <v>35</v>
      </c>
      <c r="G46" s="3">
        <v>10.987024947926299</v>
      </c>
      <c r="H46" s="3">
        <v>0.92686935100000001</v>
      </c>
      <c r="I46" s="6">
        <v>3.66977203794427</v>
      </c>
      <c r="J46" s="6">
        <v>0.76235193014144897</v>
      </c>
      <c r="K46" s="1" t="s">
        <v>133</v>
      </c>
      <c r="L46" s="1">
        <v>3</v>
      </c>
      <c r="M46" s="1" t="s">
        <v>1</v>
      </c>
      <c r="N46" s="2">
        <v>43986</v>
      </c>
      <c r="O46" s="2">
        <v>44721</v>
      </c>
      <c r="P46" s="1" t="s">
        <v>2</v>
      </c>
    </row>
    <row r="47" spans="1:16" x14ac:dyDescent="0.2">
      <c r="A47" s="1">
        <v>44</v>
      </c>
      <c r="B47" s="1" t="s">
        <v>60</v>
      </c>
      <c r="C47" s="1" t="s">
        <v>59</v>
      </c>
      <c r="D47" s="1">
        <v>1246</v>
      </c>
      <c r="E47" s="1">
        <v>560564</v>
      </c>
      <c r="F47" s="1">
        <v>41</v>
      </c>
      <c r="G47" s="3">
        <v>13.047242069543</v>
      </c>
      <c r="H47" s="3">
        <v>1.0238290880000001</v>
      </c>
      <c r="I47" s="6">
        <v>4.4523773906284898</v>
      </c>
      <c r="J47" s="6">
        <v>0.76235193014144897</v>
      </c>
      <c r="K47" s="1" t="s">
        <v>133</v>
      </c>
      <c r="L47" s="1">
        <v>1</v>
      </c>
      <c r="M47" s="1" t="s">
        <v>1</v>
      </c>
      <c r="N47" s="2">
        <v>43984</v>
      </c>
      <c r="O47" s="2">
        <v>44721</v>
      </c>
      <c r="P47" s="1" t="s">
        <v>2</v>
      </c>
    </row>
    <row r="48" spans="1:16" x14ac:dyDescent="0.2">
      <c r="A48" s="1">
        <v>45</v>
      </c>
      <c r="B48" s="1" t="s">
        <v>51</v>
      </c>
      <c r="C48" s="1" t="s">
        <v>58</v>
      </c>
      <c r="D48" s="1">
        <v>479</v>
      </c>
      <c r="E48" s="1">
        <v>284042</v>
      </c>
      <c r="F48" s="1">
        <v>17</v>
      </c>
      <c r="G48" s="3">
        <v>5.1959702625387196</v>
      </c>
      <c r="H48" s="3">
        <v>0.93251135600000001</v>
      </c>
      <c r="I48" s="6">
        <v>1.6946556727762501</v>
      </c>
      <c r="J48" s="6">
        <v>2.9457349777221702</v>
      </c>
      <c r="K48" s="1" t="s">
        <v>132</v>
      </c>
      <c r="L48" s="1">
        <v>4</v>
      </c>
      <c r="M48" s="1" t="s">
        <v>1</v>
      </c>
      <c r="N48" s="2">
        <v>43101</v>
      </c>
      <c r="O48" s="2">
        <v>43466</v>
      </c>
      <c r="P48" s="1" t="s">
        <v>7</v>
      </c>
    </row>
    <row r="49" spans="1:16" x14ac:dyDescent="0.2">
      <c r="A49" s="1">
        <v>46</v>
      </c>
      <c r="B49" s="1" t="s">
        <v>51</v>
      </c>
      <c r="C49" s="1" t="s">
        <v>57</v>
      </c>
      <c r="D49" s="3" t="s">
        <v>157</v>
      </c>
      <c r="E49" s="3" t="s">
        <v>157</v>
      </c>
      <c r="F49" s="1">
        <v>8</v>
      </c>
      <c r="G49" s="3">
        <v>2.3797630934255798</v>
      </c>
      <c r="H49" s="3" t="s">
        <v>157</v>
      </c>
      <c r="I49" s="6">
        <v>0.60149165169749197</v>
      </c>
      <c r="J49" s="6">
        <v>3.7750346660614</v>
      </c>
      <c r="K49" s="1" t="s">
        <v>132</v>
      </c>
      <c r="L49" s="1">
        <v>4</v>
      </c>
      <c r="M49" s="1" t="s">
        <v>39</v>
      </c>
      <c r="N49" s="2">
        <v>43282</v>
      </c>
      <c r="O49" s="2">
        <v>43647</v>
      </c>
      <c r="P49" s="1" t="s">
        <v>17</v>
      </c>
    </row>
    <row r="50" spans="1:16" x14ac:dyDescent="0.2">
      <c r="A50" s="1">
        <v>47</v>
      </c>
      <c r="B50" s="1" t="s">
        <v>51</v>
      </c>
      <c r="C50" s="1" t="s">
        <v>56</v>
      </c>
      <c r="D50" s="1">
        <v>905</v>
      </c>
      <c r="E50" s="1">
        <v>469314</v>
      </c>
      <c r="F50" s="1">
        <v>24</v>
      </c>
      <c r="G50" s="3">
        <v>7.0855366542320901</v>
      </c>
      <c r="H50" s="3">
        <v>0.74363188199999997</v>
      </c>
      <c r="I50" s="6">
        <v>2.45010798950968</v>
      </c>
      <c r="J50" s="6">
        <v>4.0871605873107901</v>
      </c>
      <c r="K50" s="1" t="s">
        <v>132</v>
      </c>
      <c r="L50" s="1">
        <v>4</v>
      </c>
      <c r="M50" s="1" t="s">
        <v>1</v>
      </c>
      <c r="N50" s="2">
        <v>43984</v>
      </c>
      <c r="O50" s="2">
        <v>44728</v>
      </c>
      <c r="P50" s="1" t="s">
        <v>2</v>
      </c>
    </row>
    <row r="51" spans="1:16" x14ac:dyDescent="0.2">
      <c r="A51" s="1">
        <v>48</v>
      </c>
      <c r="B51" s="1" t="s">
        <v>51</v>
      </c>
      <c r="C51" s="1" t="s">
        <v>55</v>
      </c>
      <c r="D51" s="1">
        <v>466</v>
      </c>
      <c r="E51" s="1">
        <v>319182</v>
      </c>
      <c r="F51" s="1">
        <v>18</v>
      </c>
      <c r="G51" s="3">
        <v>5.5249969061547404</v>
      </c>
      <c r="H51" s="3">
        <v>0.90720311499999995</v>
      </c>
      <c r="I51" s="6">
        <v>1.74087949965348</v>
      </c>
      <c r="J51" s="6">
        <v>2.9457349777221702</v>
      </c>
      <c r="K51" s="1" t="s">
        <v>132</v>
      </c>
      <c r="L51" s="1">
        <v>4</v>
      </c>
      <c r="M51" s="1" t="s">
        <v>1</v>
      </c>
      <c r="N51" s="2">
        <v>43101</v>
      </c>
      <c r="O51" s="2">
        <v>43466</v>
      </c>
      <c r="P51" s="1" t="s">
        <v>7</v>
      </c>
    </row>
    <row r="52" spans="1:16" x14ac:dyDescent="0.2">
      <c r="A52" s="1">
        <v>49</v>
      </c>
      <c r="B52" s="1" t="s">
        <v>51</v>
      </c>
      <c r="C52" s="1" t="s">
        <v>54</v>
      </c>
      <c r="D52" s="3" t="s">
        <v>157</v>
      </c>
      <c r="E52" s="3" t="s">
        <v>157</v>
      </c>
      <c r="F52" s="1">
        <v>2</v>
      </c>
      <c r="G52" s="3">
        <v>0.82437575187410905</v>
      </c>
      <c r="H52" s="3" t="s">
        <v>157</v>
      </c>
      <c r="I52" s="6">
        <v>0.104133835062573</v>
      </c>
      <c r="J52" s="6">
        <v>3.7750346660614</v>
      </c>
      <c r="K52" s="1" t="s">
        <v>132</v>
      </c>
      <c r="L52" s="1">
        <v>4</v>
      </c>
      <c r="M52" s="1" t="s">
        <v>39</v>
      </c>
      <c r="N52" s="2">
        <v>43282</v>
      </c>
      <c r="O52" s="2">
        <v>43647</v>
      </c>
      <c r="P52" s="1" t="s">
        <v>17</v>
      </c>
    </row>
    <row r="53" spans="1:16" x14ac:dyDescent="0.2">
      <c r="A53" s="1">
        <v>50</v>
      </c>
      <c r="B53" s="1" t="s">
        <v>51</v>
      </c>
      <c r="C53" s="1" t="s">
        <v>53</v>
      </c>
      <c r="D53" s="1">
        <v>780</v>
      </c>
      <c r="E53" s="1">
        <v>194661</v>
      </c>
      <c r="F53" s="1">
        <v>15</v>
      </c>
      <c r="G53" s="3">
        <v>4.4284564075782002</v>
      </c>
      <c r="H53" s="3">
        <v>1.2322274879999999</v>
      </c>
      <c r="I53" s="6">
        <v>1.1494882385096099</v>
      </c>
      <c r="J53" s="6">
        <v>3.7750346660614</v>
      </c>
      <c r="K53" s="1" t="s">
        <v>132</v>
      </c>
      <c r="L53" s="1">
        <v>4</v>
      </c>
      <c r="M53" s="1" t="s">
        <v>1</v>
      </c>
      <c r="N53" s="2">
        <v>43282</v>
      </c>
      <c r="O53" s="2">
        <v>43647</v>
      </c>
      <c r="P53" s="1" t="s">
        <v>17</v>
      </c>
    </row>
    <row r="54" spans="1:16" x14ac:dyDescent="0.2">
      <c r="A54" s="1">
        <v>51</v>
      </c>
      <c r="B54" s="1" t="s">
        <v>51</v>
      </c>
      <c r="C54" s="1" t="s">
        <v>52</v>
      </c>
      <c r="D54" s="1">
        <v>839</v>
      </c>
      <c r="E54" s="1">
        <v>407553</v>
      </c>
      <c r="F54" s="1">
        <v>14</v>
      </c>
      <c r="G54" s="3">
        <v>3.6323123880099</v>
      </c>
      <c r="H54" s="3">
        <v>0.68940016400000004</v>
      </c>
      <c r="I54" s="6">
        <v>1.1851907233541299</v>
      </c>
      <c r="J54" s="6">
        <v>4.0871605873107901</v>
      </c>
      <c r="K54" s="1" t="s">
        <v>132</v>
      </c>
      <c r="L54" s="1">
        <v>4</v>
      </c>
      <c r="M54" s="1" t="s">
        <v>1</v>
      </c>
      <c r="N54" s="2">
        <v>43986</v>
      </c>
      <c r="O54" s="2">
        <v>44728</v>
      </c>
      <c r="P54" s="1" t="s">
        <v>2</v>
      </c>
    </row>
    <row r="55" spans="1:16" x14ac:dyDescent="0.2">
      <c r="A55" s="1">
        <v>52</v>
      </c>
      <c r="B55" s="1" t="s">
        <v>51</v>
      </c>
      <c r="C55" s="1" t="s">
        <v>50</v>
      </c>
      <c r="D55" s="1">
        <v>416</v>
      </c>
      <c r="E55" s="1">
        <v>331796</v>
      </c>
      <c r="F55" s="1">
        <v>14</v>
      </c>
      <c r="G55" s="3">
        <v>4.2787134398443598</v>
      </c>
      <c r="H55" s="3">
        <v>0.80986372500000003</v>
      </c>
      <c r="I55" s="6">
        <v>1.40120331300493</v>
      </c>
      <c r="J55" s="6">
        <v>2.9457349777221702</v>
      </c>
      <c r="K55" s="1" t="s">
        <v>132</v>
      </c>
      <c r="L55" s="1">
        <v>4</v>
      </c>
      <c r="M55" s="1" t="s">
        <v>1</v>
      </c>
      <c r="N55" s="2">
        <v>43101</v>
      </c>
      <c r="O55" s="2">
        <v>43466</v>
      </c>
      <c r="P55" s="1" t="s">
        <v>7</v>
      </c>
    </row>
    <row r="56" spans="1:16" x14ac:dyDescent="0.2">
      <c r="A56" s="1">
        <v>53</v>
      </c>
      <c r="B56" s="1" t="s">
        <v>47</v>
      </c>
      <c r="C56" s="1" t="s">
        <v>49</v>
      </c>
      <c r="D56" s="1">
        <v>564</v>
      </c>
      <c r="E56" s="1">
        <v>220318</v>
      </c>
      <c r="F56" s="1">
        <v>25</v>
      </c>
      <c r="G56" s="3">
        <v>7.5055251938971397</v>
      </c>
      <c r="H56" s="3">
        <v>1.2287581700000001</v>
      </c>
      <c r="I56" s="6">
        <v>2.7120228599944198</v>
      </c>
      <c r="J56" s="6">
        <v>1.0130814313888501</v>
      </c>
      <c r="K56" s="1" t="s">
        <v>130</v>
      </c>
      <c r="L56" s="1">
        <v>1</v>
      </c>
      <c r="M56" s="1" t="s">
        <v>1</v>
      </c>
      <c r="N56" s="2">
        <v>42125</v>
      </c>
      <c r="O56" s="2">
        <v>43009</v>
      </c>
      <c r="P56" s="1" t="s">
        <v>23</v>
      </c>
    </row>
    <row r="57" spans="1:16" x14ac:dyDescent="0.2">
      <c r="A57" s="1">
        <v>54</v>
      </c>
      <c r="B57" s="1" t="s">
        <v>47</v>
      </c>
      <c r="C57" s="1" t="s">
        <v>48</v>
      </c>
      <c r="D57" s="1">
        <v>688</v>
      </c>
      <c r="E57" s="1">
        <v>270801</v>
      </c>
      <c r="F57" s="1">
        <v>40</v>
      </c>
      <c r="G57" s="3">
        <v>12.7832242070921</v>
      </c>
      <c r="H57" s="3">
        <v>1.4989106750000001</v>
      </c>
      <c r="I57" s="6">
        <v>4.3291694793371498</v>
      </c>
      <c r="J57" s="6">
        <v>1.0130814313888501</v>
      </c>
      <c r="K57" s="1" t="s">
        <v>130</v>
      </c>
      <c r="L57" s="1">
        <v>1</v>
      </c>
      <c r="M57" s="1" t="s">
        <v>1</v>
      </c>
      <c r="N57" s="2">
        <v>42125</v>
      </c>
      <c r="O57" s="2">
        <v>43009</v>
      </c>
      <c r="P57" s="1" t="s">
        <v>23</v>
      </c>
    </row>
    <row r="58" spans="1:16" x14ac:dyDescent="0.2">
      <c r="A58" s="1">
        <v>55</v>
      </c>
      <c r="B58" s="1" t="s">
        <v>47</v>
      </c>
      <c r="C58" s="1" t="s">
        <v>46</v>
      </c>
      <c r="D58" s="1">
        <v>630</v>
      </c>
      <c r="E58" s="1">
        <v>200912</v>
      </c>
      <c r="F58" s="1">
        <v>28</v>
      </c>
      <c r="G58" s="3">
        <v>7.9558426159384696</v>
      </c>
      <c r="H58" s="3">
        <v>1.3725490199999999</v>
      </c>
      <c r="I58" s="6">
        <v>2.7224655318008599</v>
      </c>
      <c r="J58" s="6">
        <v>1.0130814313888501</v>
      </c>
      <c r="K58" s="1" t="s">
        <v>130</v>
      </c>
      <c r="L58" s="1">
        <v>1</v>
      </c>
      <c r="M58" s="1" t="s">
        <v>1</v>
      </c>
      <c r="N58" s="2">
        <v>42125</v>
      </c>
      <c r="O58" s="2">
        <v>43009</v>
      </c>
      <c r="P58" s="1" t="s">
        <v>23</v>
      </c>
    </row>
    <row r="59" spans="1:16" x14ac:dyDescent="0.2">
      <c r="A59" s="1">
        <v>56</v>
      </c>
      <c r="B59" s="1" t="s">
        <v>44</v>
      </c>
      <c r="C59" s="1" t="s">
        <v>45</v>
      </c>
      <c r="D59" s="1">
        <v>1212</v>
      </c>
      <c r="E59" s="1">
        <v>408188</v>
      </c>
      <c r="F59" s="1">
        <v>11</v>
      </c>
      <c r="G59" s="3">
        <v>3.1955324514257</v>
      </c>
      <c r="H59" s="3">
        <v>0.99589153699999999</v>
      </c>
      <c r="I59" s="6">
        <v>1.08039285110261</v>
      </c>
      <c r="J59" s="6">
        <v>1.7459846735000599</v>
      </c>
      <c r="K59" s="1" t="s">
        <v>130</v>
      </c>
      <c r="L59" s="1">
        <v>4</v>
      </c>
      <c r="M59" s="1" t="s">
        <v>1</v>
      </c>
      <c r="N59" s="2">
        <v>43984</v>
      </c>
      <c r="O59" s="2">
        <v>44718</v>
      </c>
      <c r="P59" s="1" t="s">
        <v>2</v>
      </c>
    </row>
    <row r="60" spans="1:16" x14ac:dyDescent="0.2">
      <c r="A60" s="1">
        <v>57</v>
      </c>
      <c r="B60" s="1" t="s">
        <v>44</v>
      </c>
      <c r="C60" s="1" t="s">
        <v>43</v>
      </c>
      <c r="D60" s="1">
        <v>1443</v>
      </c>
      <c r="E60" s="1">
        <v>507463</v>
      </c>
      <c r="F60" s="1">
        <v>14</v>
      </c>
      <c r="G60" s="3">
        <v>3.6016129153071801</v>
      </c>
      <c r="H60" s="3">
        <v>1.185702547</v>
      </c>
      <c r="I60" s="6">
        <v>1.35327188843181</v>
      </c>
      <c r="J60" s="6">
        <v>1.7459846735000599</v>
      </c>
      <c r="K60" s="1" t="s">
        <v>130</v>
      </c>
      <c r="L60" s="1">
        <v>3</v>
      </c>
      <c r="M60" s="1" t="s">
        <v>1</v>
      </c>
      <c r="N60" s="2">
        <v>43986</v>
      </c>
      <c r="O60" s="2">
        <v>44718</v>
      </c>
      <c r="P60" s="1" t="s">
        <v>2</v>
      </c>
    </row>
    <row r="61" spans="1:16" x14ac:dyDescent="0.2">
      <c r="A61" s="1">
        <v>58</v>
      </c>
      <c r="B61" s="1" t="s">
        <v>36</v>
      </c>
      <c r="C61" s="1" t="s">
        <v>42</v>
      </c>
      <c r="D61" s="1">
        <v>315</v>
      </c>
      <c r="E61" s="1">
        <v>305226</v>
      </c>
      <c r="F61" s="1">
        <v>9</v>
      </c>
      <c r="G61" s="3">
        <v>3.5604864053485001</v>
      </c>
      <c r="H61" s="3">
        <v>0.61323815699999995</v>
      </c>
      <c r="I61" s="6">
        <v>0.64493768094713599</v>
      </c>
      <c r="J61" s="6">
        <v>1.8417770862579299</v>
      </c>
      <c r="K61" s="1" t="s">
        <v>132</v>
      </c>
      <c r="L61" s="1">
        <v>4</v>
      </c>
      <c r="M61" s="1" t="s">
        <v>1</v>
      </c>
      <c r="N61" s="2">
        <v>43101</v>
      </c>
      <c r="O61" s="2">
        <v>43466</v>
      </c>
      <c r="P61" s="1" t="s">
        <v>7</v>
      </c>
    </row>
    <row r="62" spans="1:16" x14ac:dyDescent="0.2">
      <c r="A62" s="1">
        <v>59</v>
      </c>
      <c r="B62" s="1" t="s">
        <v>36</v>
      </c>
      <c r="C62" s="1" t="s">
        <v>41</v>
      </c>
      <c r="D62" s="1">
        <v>365</v>
      </c>
      <c r="E62" s="1">
        <v>326804</v>
      </c>
      <c r="F62" s="1">
        <v>10</v>
      </c>
      <c r="G62" s="3">
        <v>3.7345565653375599</v>
      </c>
      <c r="H62" s="3">
        <v>0.71057754699999998</v>
      </c>
      <c r="I62" s="6">
        <v>0.75180506623453802</v>
      </c>
      <c r="J62" s="6">
        <v>1.8417770862579299</v>
      </c>
      <c r="K62" s="1" t="s">
        <v>132</v>
      </c>
      <c r="L62" s="1">
        <v>4</v>
      </c>
      <c r="M62" s="1" t="s">
        <v>1</v>
      </c>
      <c r="N62" s="2">
        <v>43101</v>
      </c>
      <c r="O62" s="2">
        <v>43466</v>
      </c>
      <c r="P62" s="1" t="s">
        <v>7</v>
      </c>
    </row>
    <row r="63" spans="1:16" x14ac:dyDescent="0.2">
      <c r="A63" s="1">
        <v>60</v>
      </c>
      <c r="B63" s="1" t="s">
        <v>36</v>
      </c>
      <c r="C63" s="1" t="s">
        <v>40</v>
      </c>
      <c r="D63" s="3" t="s">
        <v>157</v>
      </c>
      <c r="E63" s="3" t="s">
        <v>157</v>
      </c>
      <c r="F63" s="1">
        <v>7</v>
      </c>
      <c r="G63" s="3">
        <v>2.7085632017939498</v>
      </c>
      <c r="H63" s="3" t="s">
        <v>157</v>
      </c>
      <c r="I63" s="6">
        <v>-0.35687175108056701</v>
      </c>
      <c r="J63" s="6">
        <v>1.69595730304718</v>
      </c>
      <c r="K63" s="1" t="s">
        <v>132</v>
      </c>
      <c r="L63" s="1">
        <v>4</v>
      </c>
      <c r="M63" s="1" t="s">
        <v>39</v>
      </c>
      <c r="N63" s="2">
        <v>43282</v>
      </c>
      <c r="O63" s="2">
        <v>43647</v>
      </c>
      <c r="P63" s="1" t="s">
        <v>17</v>
      </c>
    </row>
    <row r="64" spans="1:16" x14ac:dyDescent="0.2">
      <c r="A64" s="1">
        <v>61</v>
      </c>
      <c r="B64" s="1" t="s">
        <v>36</v>
      </c>
      <c r="C64" s="1" t="s">
        <v>38</v>
      </c>
      <c r="D64" s="1">
        <v>680</v>
      </c>
      <c r="E64" s="1">
        <v>184578</v>
      </c>
      <c r="F64" s="1">
        <v>8</v>
      </c>
      <c r="G64" s="3">
        <v>3.3091218100057298</v>
      </c>
      <c r="H64" s="3">
        <v>1.0742496050000001</v>
      </c>
      <c r="I64" s="6">
        <v>0.14164816073044101</v>
      </c>
      <c r="J64" s="6">
        <v>1.69595730304718</v>
      </c>
      <c r="K64" s="1" t="s">
        <v>132</v>
      </c>
      <c r="L64" s="1">
        <v>4</v>
      </c>
      <c r="M64" s="1" t="s">
        <v>1</v>
      </c>
      <c r="N64" s="2">
        <v>43282</v>
      </c>
      <c r="O64" s="2">
        <v>43647</v>
      </c>
      <c r="P64" s="1" t="s">
        <v>17</v>
      </c>
    </row>
    <row r="65" spans="1:16" x14ac:dyDescent="0.2">
      <c r="A65" s="1">
        <v>62</v>
      </c>
      <c r="B65" s="1" t="s">
        <v>36</v>
      </c>
      <c r="C65" s="1" t="s">
        <v>37</v>
      </c>
      <c r="D65" s="1">
        <v>633</v>
      </c>
      <c r="E65" s="1">
        <v>188377</v>
      </c>
      <c r="F65" s="1">
        <v>9</v>
      </c>
      <c r="G65" s="3">
        <v>3.3699247762440501</v>
      </c>
      <c r="H65" s="3">
        <v>1</v>
      </c>
      <c r="I65" s="6">
        <v>0.63647703084964602</v>
      </c>
      <c r="J65" s="6">
        <v>1.69595730304718</v>
      </c>
      <c r="K65" s="1" t="s">
        <v>132</v>
      </c>
      <c r="L65" s="1">
        <v>4</v>
      </c>
      <c r="M65" s="1" t="s">
        <v>1</v>
      </c>
      <c r="N65" s="2">
        <v>43282</v>
      </c>
      <c r="O65" s="2">
        <v>43647</v>
      </c>
      <c r="P65" s="1" t="s">
        <v>17</v>
      </c>
    </row>
    <row r="66" spans="1:16" x14ac:dyDescent="0.2">
      <c r="A66" s="1">
        <v>63</v>
      </c>
      <c r="B66" s="1" t="s">
        <v>36</v>
      </c>
      <c r="C66" s="1" t="s">
        <v>35</v>
      </c>
      <c r="D66" s="1">
        <v>325</v>
      </c>
      <c r="E66" s="1">
        <v>288443</v>
      </c>
      <c r="F66" s="1">
        <v>8</v>
      </c>
      <c r="G66" s="3">
        <v>3.3487222663812601</v>
      </c>
      <c r="H66" s="3">
        <v>0.632706035</v>
      </c>
      <c r="I66" s="6">
        <v>0.54189776236000597</v>
      </c>
      <c r="J66" s="6">
        <v>1.8417770862579299</v>
      </c>
      <c r="K66" s="1" t="s">
        <v>133</v>
      </c>
      <c r="L66" s="1">
        <v>4</v>
      </c>
      <c r="M66" s="1" t="s">
        <v>1</v>
      </c>
      <c r="N66" s="2">
        <v>43101</v>
      </c>
      <c r="O66" s="2">
        <v>43466</v>
      </c>
      <c r="P66" s="1" t="s">
        <v>7</v>
      </c>
    </row>
    <row r="67" spans="1:16" x14ac:dyDescent="0.2">
      <c r="A67" s="1">
        <v>64</v>
      </c>
      <c r="B67" s="1" t="s">
        <v>30</v>
      </c>
      <c r="C67" s="1" t="s">
        <v>34</v>
      </c>
      <c r="D67" s="1">
        <v>933</v>
      </c>
      <c r="E67" s="1">
        <v>259209</v>
      </c>
      <c r="F67" s="1">
        <v>46</v>
      </c>
      <c r="G67" s="3">
        <v>14.1946915686491</v>
      </c>
      <c r="H67" s="3">
        <v>1.4739336489999999</v>
      </c>
      <c r="I67" s="6">
        <v>4.8645267135121397</v>
      </c>
      <c r="J67" s="6">
        <v>1.2153947353362999</v>
      </c>
      <c r="K67" s="1" t="s">
        <v>133</v>
      </c>
      <c r="L67" s="1">
        <v>3</v>
      </c>
      <c r="M67" s="1" t="s">
        <v>1</v>
      </c>
      <c r="N67" s="2">
        <v>43282</v>
      </c>
      <c r="O67" s="2">
        <v>43647</v>
      </c>
      <c r="P67" s="1" t="s">
        <v>17</v>
      </c>
    </row>
    <row r="68" spans="1:16" x14ac:dyDescent="0.2">
      <c r="A68" s="1">
        <v>65</v>
      </c>
      <c r="B68" s="1" t="s">
        <v>30</v>
      </c>
      <c r="C68" s="1" t="s">
        <v>33</v>
      </c>
      <c r="D68" s="1">
        <v>1127</v>
      </c>
      <c r="E68" s="1">
        <v>254806</v>
      </c>
      <c r="F68" s="1">
        <v>44</v>
      </c>
      <c r="G68" s="3">
        <v>12.8948632911708</v>
      </c>
      <c r="H68" s="3">
        <v>1.7804107419999999</v>
      </c>
      <c r="I68" s="6">
        <v>4.3865844707047197</v>
      </c>
      <c r="J68" s="6">
        <v>1.2153947353362999</v>
      </c>
      <c r="K68" s="1" t="s">
        <v>133</v>
      </c>
      <c r="L68" s="1">
        <v>1</v>
      </c>
      <c r="M68" s="1" t="s">
        <v>1</v>
      </c>
      <c r="N68" s="2">
        <v>43282</v>
      </c>
      <c r="O68" s="2">
        <v>43647</v>
      </c>
      <c r="P68" s="1" t="s">
        <v>17</v>
      </c>
    </row>
    <row r="69" spans="1:16" x14ac:dyDescent="0.2">
      <c r="A69" s="1">
        <v>66</v>
      </c>
      <c r="B69" s="1" t="s">
        <v>30</v>
      </c>
      <c r="C69" s="1" t="s">
        <v>32</v>
      </c>
      <c r="D69" s="1">
        <v>623</v>
      </c>
      <c r="E69" s="1">
        <v>265309</v>
      </c>
      <c r="F69" s="1">
        <v>38</v>
      </c>
      <c r="G69" s="3">
        <v>10.7670992807146</v>
      </c>
      <c r="H69" s="3">
        <v>1.2128487990000001</v>
      </c>
      <c r="I69" s="6">
        <v>3.7319897638475501</v>
      </c>
      <c r="J69" s="6">
        <v>1.78699922561646</v>
      </c>
      <c r="K69" s="1" t="s">
        <v>133</v>
      </c>
      <c r="L69" s="1">
        <v>3</v>
      </c>
      <c r="M69" s="1" t="s">
        <v>1</v>
      </c>
      <c r="N69" s="2">
        <v>43101</v>
      </c>
      <c r="O69" s="2">
        <v>43466</v>
      </c>
      <c r="P69" s="1" t="s">
        <v>7</v>
      </c>
    </row>
    <row r="70" spans="1:16" x14ac:dyDescent="0.2">
      <c r="A70" s="1">
        <v>67</v>
      </c>
      <c r="B70" s="1" t="s">
        <v>30</v>
      </c>
      <c r="C70" s="1" t="s">
        <v>31</v>
      </c>
      <c r="D70" s="1">
        <v>1226</v>
      </c>
      <c r="E70" s="1">
        <v>219733</v>
      </c>
      <c r="F70" s="1">
        <v>31</v>
      </c>
      <c r="G70" s="3">
        <v>8.6681243551482403</v>
      </c>
      <c r="H70" s="3">
        <v>1.936808847</v>
      </c>
      <c r="I70" s="6">
        <v>2.9948398684820599</v>
      </c>
      <c r="J70" s="6">
        <v>1.2153947353362999</v>
      </c>
      <c r="K70" s="1" t="s">
        <v>133</v>
      </c>
      <c r="L70" s="1">
        <v>3</v>
      </c>
      <c r="M70" s="1" t="s">
        <v>1</v>
      </c>
      <c r="N70" s="2">
        <v>43282</v>
      </c>
      <c r="O70" s="2">
        <v>43647</v>
      </c>
      <c r="P70" s="1" t="s">
        <v>17</v>
      </c>
    </row>
    <row r="71" spans="1:16" x14ac:dyDescent="0.2">
      <c r="A71" s="1">
        <v>68</v>
      </c>
      <c r="B71" s="1" t="s">
        <v>30</v>
      </c>
      <c r="C71" s="1" t="s">
        <v>29</v>
      </c>
      <c r="D71" s="1">
        <v>712</v>
      </c>
      <c r="E71" s="1">
        <v>327517</v>
      </c>
      <c r="F71" s="1">
        <v>50</v>
      </c>
      <c r="G71" s="3">
        <v>14.6226687871598</v>
      </c>
      <c r="H71" s="3">
        <v>1.3861129139999999</v>
      </c>
      <c r="I71" s="6">
        <v>4.9347931575316197</v>
      </c>
      <c r="J71" s="6">
        <v>1.78699922561646</v>
      </c>
      <c r="K71" s="1" t="s">
        <v>133</v>
      </c>
      <c r="L71" s="1">
        <v>3</v>
      </c>
      <c r="M71" s="1" t="s">
        <v>1</v>
      </c>
      <c r="N71" s="2">
        <v>43101</v>
      </c>
      <c r="O71" s="2">
        <v>43466</v>
      </c>
      <c r="P71" s="1" t="s">
        <v>7</v>
      </c>
    </row>
    <row r="72" spans="1:16" x14ac:dyDescent="0.2">
      <c r="A72" s="1">
        <v>69</v>
      </c>
      <c r="B72" s="1" t="s">
        <v>4</v>
      </c>
      <c r="C72" s="1" t="s">
        <v>28</v>
      </c>
      <c r="D72" s="1">
        <v>510</v>
      </c>
      <c r="E72" s="1">
        <v>221292</v>
      </c>
      <c r="F72" s="1">
        <v>33</v>
      </c>
      <c r="G72" s="3">
        <v>9.8330621906373796</v>
      </c>
      <c r="H72" s="3">
        <v>1.111111111</v>
      </c>
      <c r="I72" s="6">
        <v>3.2874022062145798</v>
      </c>
      <c r="J72" s="6">
        <v>1.94890153408051</v>
      </c>
      <c r="K72" s="1" t="s">
        <v>130</v>
      </c>
      <c r="L72" s="1">
        <v>1</v>
      </c>
      <c r="M72" s="1" t="s">
        <v>1</v>
      </c>
      <c r="N72" s="2">
        <v>42125</v>
      </c>
      <c r="O72" s="2">
        <v>43009</v>
      </c>
      <c r="P72" s="1" t="s">
        <v>23</v>
      </c>
    </row>
    <row r="73" spans="1:16" x14ac:dyDescent="0.2">
      <c r="A73" s="1">
        <v>70</v>
      </c>
      <c r="B73" s="1" t="s">
        <v>4</v>
      </c>
      <c r="C73" s="1" t="s">
        <v>27</v>
      </c>
      <c r="D73" s="1">
        <v>499</v>
      </c>
      <c r="E73" s="1">
        <v>258746</v>
      </c>
      <c r="F73" s="1">
        <v>9</v>
      </c>
      <c r="G73" s="3">
        <v>3.09788302131407</v>
      </c>
      <c r="H73" s="3">
        <v>1.087145969</v>
      </c>
      <c r="I73" s="6">
        <v>0.94719720115414496</v>
      </c>
      <c r="J73" s="6">
        <v>1.94890153408051</v>
      </c>
      <c r="K73" s="1" t="s">
        <v>130</v>
      </c>
      <c r="L73" s="1">
        <v>1</v>
      </c>
      <c r="M73" s="1" t="s">
        <v>1</v>
      </c>
      <c r="N73" s="2">
        <v>42125</v>
      </c>
      <c r="O73" s="2">
        <v>43009</v>
      </c>
      <c r="P73" s="1" t="s">
        <v>23</v>
      </c>
    </row>
    <row r="74" spans="1:16" x14ac:dyDescent="0.2">
      <c r="A74" s="1">
        <v>71</v>
      </c>
      <c r="B74" s="1" t="s">
        <v>4</v>
      </c>
      <c r="C74" s="1" t="s">
        <v>26</v>
      </c>
      <c r="D74" s="1">
        <v>651</v>
      </c>
      <c r="E74" s="1">
        <v>326993</v>
      </c>
      <c r="F74" s="1">
        <v>17</v>
      </c>
      <c r="G74" s="3">
        <v>5.4507523422025601</v>
      </c>
      <c r="H74" s="3">
        <v>1.0284360189999999</v>
      </c>
      <c r="I74" s="6">
        <v>1.7154681363497599</v>
      </c>
      <c r="J74" s="6">
        <v>1.6961442232132</v>
      </c>
      <c r="K74" s="1" t="s">
        <v>130</v>
      </c>
      <c r="L74" s="1">
        <v>1</v>
      </c>
      <c r="M74" s="1" t="s">
        <v>1</v>
      </c>
      <c r="N74" s="2">
        <v>43282</v>
      </c>
      <c r="O74" s="2">
        <v>43647</v>
      </c>
      <c r="P74" s="1" t="s">
        <v>17</v>
      </c>
    </row>
    <row r="75" spans="1:16" x14ac:dyDescent="0.2">
      <c r="A75" s="1">
        <v>72</v>
      </c>
      <c r="B75" s="1" t="s">
        <v>4</v>
      </c>
      <c r="C75" s="1" t="s">
        <v>25</v>
      </c>
      <c r="D75" s="1">
        <v>1005</v>
      </c>
      <c r="E75" s="1">
        <v>396620</v>
      </c>
      <c r="F75" s="1">
        <v>26</v>
      </c>
      <c r="G75" s="3">
        <v>9.5654893124608193</v>
      </c>
      <c r="H75" s="3">
        <v>0.95701265099999999</v>
      </c>
      <c r="I75" s="6">
        <v>3.38718308834944</v>
      </c>
      <c r="J75" s="6">
        <v>1.01041016793518</v>
      </c>
      <c r="K75" s="1" t="s">
        <v>130</v>
      </c>
      <c r="L75" s="1">
        <v>1</v>
      </c>
      <c r="M75" s="1" t="s">
        <v>1</v>
      </c>
      <c r="N75" s="2">
        <v>43984</v>
      </c>
      <c r="O75" s="2">
        <v>44938</v>
      </c>
      <c r="P75" s="1" t="s">
        <v>5</v>
      </c>
    </row>
    <row r="76" spans="1:16" x14ac:dyDescent="0.2">
      <c r="A76" s="1">
        <v>73</v>
      </c>
      <c r="B76" s="1" t="s">
        <v>4</v>
      </c>
      <c r="C76" s="1" t="s">
        <v>24</v>
      </c>
      <c r="D76" s="1">
        <v>368</v>
      </c>
      <c r="E76" s="1">
        <v>254585</v>
      </c>
      <c r="F76" s="1">
        <v>7</v>
      </c>
      <c r="G76" s="3">
        <v>2.2793583264978001</v>
      </c>
      <c r="H76" s="3">
        <v>0.80174291900000005</v>
      </c>
      <c r="I76" s="6">
        <v>0.89910893250734703</v>
      </c>
      <c r="J76" s="6">
        <v>1.94890153408051</v>
      </c>
      <c r="K76" s="1" t="s">
        <v>130</v>
      </c>
      <c r="L76" s="1">
        <v>1</v>
      </c>
      <c r="M76" s="1" t="s">
        <v>1</v>
      </c>
      <c r="N76" s="2">
        <v>42125</v>
      </c>
      <c r="O76" s="2">
        <v>43009</v>
      </c>
      <c r="P76" s="1" t="s">
        <v>23</v>
      </c>
    </row>
    <row r="77" spans="1:16" x14ac:dyDescent="0.2">
      <c r="A77" s="1">
        <v>74</v>
      </c>
      <c r="B77" s="1" t="s">
        <v>4</v>
      </c>
      <c r="C77" s="1" t="s">
        <v>22</v>
      </c>
      <c r="D77" s="1">
        <v>570</v>
      </c>
      <c r="E77" s="1">
        <v>258828</v>
      </c>
      <c r="F77" s="1">
        <v>17</v>
      </c>
      <c r="G77" s="3">
        <v>5.7402544190065097</v>
      </c>
      <c r="H77" s="3">
        <v>0.90047393399999998</v>
      </c>
      <c r="I77" s="6">
        <v>2.0033838226506302</v>
      </c>
      <c r="J77" s="6">
        <v>1.6961442232132</v>
      </c>
      <c r="K77" s="1" t="s">
        <v>130</v>
      </c>
      <c r="L77" s="1">
        <v>1</v>
      </c>
      <c r="M77" s="1" t="s">
        <v>1</v>
      </c>
      <c r="N77" s="2">
        <v>43282</v>
      </c>
      <c r="O77" s="2">
        <v>43647</v>
      </c>
      <c r="P77" s="1" t="s">
        <v>17</v>
      </c>
    </row>
    <row r="78" spans="1:16" x14ac:dyDescent="0.2">
      <c r="A78" s="1">
        <v>75</v>
      </c>
      <c r="B78" s="1" t="s">
        <v>4</v>
      </c>
      <c r="C78" s="1" t="s">
        <v>21</v>
      </c>
      <c r="D78" s="1">
        <v>516</v>
      </c>
      <c r="E78" s="1">
        <v>283011</v>
      </c>
      <c r="F78" s="1">
        <v>26</v>
      </c>
      <c r="G78" s="3">
        <v>8.3687181261597399</v>
      </c>
      <c r="H78" s="3">
        <v>1.0045425050000001</v>
      </c>
      <c r="I78" s="6">
        <v>2.9032727769235702</v>
      </c>
      <c r="J78" s="6">
        <v>1.8391854763030999</v>
      </c>
      <c r="K78" s="1" t="s">
        <v>130</v>
      </c>
      <c r="L78" s="1">
        <v>1</v>
      </c>
      <c r="M78" s="1" t="s">
        <v>1</v>
      </c>
      <c r="N78" s="2">
        <v>43101</v>
      </c>
      <c r="O78" s="2">
        <v>43466</v>
      </c>
      <c r="P78" s="1" t="s">
        <v>7</v>
      </c>
    </row>
    <row r="79" spans="1:16" x14ac:dyDescent="0.2">
      <c r="A79" s="1">
        <v>76</v>
      </c>
      <c r="B79" s="1" t="s">
        <v>4</v>
      </c>
      <c r="C79" s="1" t="s">
        <v>20</v>
      </c>
      <c r="D79" s="1">
        <v>1339</v>
      </c>
      <c r="E79" s="1">
        <v>458807</v>
      </c>
      <c r="F79" s="1">
        <v>44</v>
      </c>
      <c r="G79" s="3">
        <v>14.2407011837787</v>
      </c>
      <c r="H79" s="3">
        <v>0.96504504499999999</v>
      </c>
      <c r="I79" s="6">
        <v>4.9608974903008303</v>
      </c>
      <c r="J79" s="6">
        <v>2.6475138664245601</v>
      </c>
      <c r="K79" s="1" t="s">
        <v>130</v>
      </c>
      <c r="L79" s="1">
        <v>3</v>
      </c>
      <c r="M79" s="1" t="s">
        <v>1</v>
      </c>
      <c r="N79" s="2">
        <v>43984</v>
      </c>
      <c r="O79" s="2">
        <v>44372</v>
      </c>
      <c r="P79" s="1" t="s">
        <v>12</v>
      </c>
    </row>
    <row r="80" spans="1:16" x14ac:dyDescent="0.2">
      <c r="A80" s="1">
        <v>77</v>
      </c>
      <c r="B80" s="1" t="s">
        <v>4</v>
      </c>
      <c r="C80" s="1" t="s">
        <v>19</v>
      </c>
      <c r="D80" s="1">
        <v>487</v>
      </c>
      <c r="E80" s="1">
        <v>260840</v>
      </c>
      <c r="F80" s="1">
        <v>26</v>
      </c>
      <c r="G80" s="3">
        <v>8.8334636899521808</v>
      </c>
      <c r="H80" s="3">
        <v>0.94808565899999997</v>
      </c>
      <c r="I80" s="6">
        <v>3.1370572273495001</v>
      </c>
      <c r="J80" s="6">
        <v>1.8391854763030999</v>
      </c>
      <c r="K80" s="1" t="s">
        <v>130</v>
      </c>
      <c r="L80" s="1">
        <v>1</v>
      </c>
      <c r="M80" s="1" t="s">
        <v>1</v>
      </c>
      <c r="N80" s="2">
        <v>43101</v>
      </c>
      <c r="O80" s="2">
        <v>43466</v>
      </c>
      <c r="P80" s="1" t="s">
        <v>7</v>
      </c>
    </row>
    <row r="81" spans="1:16" x14ac:dyDescent="0.2">
      <c r="A81" s="1">
        <v>78</v>
      </c>
      <c r="B81" s="1" t="s">
        <v>4</v>
      </c>
      <c r="C81" s="1" t="s">
        <v>18</v>
      </c>
      <c r="D81" s="1">
        <v>678</v>
      </c>
      <c r="E81" s="1">
        <v>277129</v>
      </c>
      <c r="F81" s="1">
        <v>35</v>
      </c>
      <c r="G81" s="3">
        <v>11.275397426262201</v>
      </c>
      <c r="H81" s="3">
        <v>1.071090047</v>
      </c>
      <c r="I81" s="6">
        <v>3.8621630767264601</v>
      </c>
      <c r="J81" s="6">
        <v>1.6961442232132</v>
      </c>
      <c r="K81" s="1" t="s">
        <v>130</v>
      </c>
      <c r="L81" s="1">
        <v>1</v>
      </c>
      <c r="M81" s="1" t="s">
        <v>1</v>
      </c>
      <c r="N81" s="2">
        <v>43282</v>
      </c>
      <c r="O81" s="2">
        <v>43647</v>
      </c>
      <c r="P81" s="1" t="s">
        <v>17</v>
      </c>
    </row>
    <row r="82" spans="1:16" x14ac:dyDescent="0.2">
      <c r="A82" s="1">
        <v>79</v>
      </c>
      <c r="B82" s="1" t="s">
        <v>4</v>
      </c>
      <c r="C82" s="1" t="s">
        <v>16</v>
      </c>
      <c r="D82" s="1">
        <v>1194</v>
      </c>
      <c r="E82" s="1">
        <v>418095</v>
      </c>
      <c r="F82" s="1">
        <v>25</v>
      </c>
      <c r="G82" s="3">
        <v>8.4988496443248405</v>
      </c>
      <c r="H82" s="3">
        <v>1.136988165</v>
      </c>
      <c r="I82" s="6">
        <v>2.9142212945177999</v>
      </c>
      <c r="J82" s="6">
        <v>1.6024343165937001</v>
      </c>
      <c r="K82" s="1" t="s">
        <v>130</v>
      </c>
      <c r="L82" s="1">
        <v>1</v>
      </c>
      <c r="M82" s="1" t="s">
        <v>1</v>
      </c>
      <c r="N82" s="2">
        <v>43984</v>
      </c>
      <c r="O82" s="2">
        <v>44935</v>
      </c>
      <c r="P82" s="1" t="s">
        <v>5</v>
      </c>
    </row>
    <row r="83" spans="1:16" x14ac:dyDescent="0.2">
      <c r="A83" s="1">
        <v>80</v>
      </c>
      <c r="B83" s="1" t="s">
        <v>4</v>
      </c>
      <c r="C83" s="1" t="s">
        <v>15</v>
      </c>
      <c r="D83" s="1">
        <v>1097</v>
      </c>
      <c r="E83" s="1">
        <v>372869</v>
      </c>
      <c r="F83" s="1">
        <v>38</v>
      </c>
      <c r="G83" s="3">
        <v>13.7539140038055</v>
      </c>
      <c r="H83" s="3">
        <v>1.0446197800000001</v>
      </c>
      <c r="I83" s="6">
        <v>4.6660387561495504</v>
      </c>
      <c r="J83" s="6">
        <v>1.7052363698298001</v>
      </c>
      <c r="K83" s="1" t="s">
        <v>130</v>
      </c>
      <c r="L83" s="1">
        <v>1</v>
      </c>
      <c r="M83" s="1" t="s">
        <v>1</v>
      </c>
      <c r="N83" s="2">
        <v>43984</v>
      </c>
      <c r="O83" s="2">
        <v>44939</v>
      </c>
      <c r="P83" s="1" t="s">
        <v>5</v>
      </c>
    </row>
    <row r="84" spans="1:16" x14ac:dyDescent="0.2">
      <c r="A84" s="1">
        <v>81</v>
      </c>
      <c r="B84" s="1" t="s">
        <v>4</v>
      </c>
      <c r="C84" s="1" t="s">
        <v>14</v>
      </c>
      <c r="D84" s="1">
        <v>909</v>
      </c>
      <c r="E84" s="1">
        <v>365756</v>
      </c>
      <c r="F84" s="1">
        <v>38</v>
      </c>
      <c r="G84" s="3">
        <v>12.9527335540643</v>
      </c>
      <c r="H84" s="3">
        <v>0.86559651699999995</v>
      </c>
      <c r="I84" s="6">
        <v>4.2784373867459102</v>
      </c>
      <c r="J84" s="6">
        <v>1.7052363698298001</v>
      </c>
      <c r="K84" s="1" t="s">
        <v>130</v>
      </c>
      <c r="L84" s="1">
        <v>1</v>
      </c>
      <c r="M84" s="1" t="s">
        <v>1</v>
      </c>
      <c r="N84" s="2">
        <v>43984</v>
      </c>
      <c r="O84" s="2">
        <v>44939</v>
      </c>
      <c r="P84" s="1" t="s">
        <v>5</v>
      </c>
    </row>
    <row r="85" spans="1:16" x14ac:dyDescent="0.2">
      <c r="A85" s="1">
        <v>82</v>
      </c>
      <c r="B85" s="1" t="s">
        <v>4</v>
      </c>
      <c r="C85" s="1" t="s">
        <v>13</v>
      </c>
      <c r="D85" s="1">
        <v>1436</v>
      </c>
      <c r="E85" s="1">
        <v>512928</v>
      </c>
      <c r="F85" s="1">
        <v>41</v>
      </c>
      <c r="G85" s="3">
        <v>13.1317239191985</v>
      </c>
      <c r="H85" s="3">
        <v>1.0349549549999999</v>
      </c>
      <c r="I85" s="6">
        <v>4.6063321512668702</v>
      </c>
      <c r="J85" s="6">
        <v>2.6475138664245601</v>
      </c>
      <c r="K85" s="1" t="s">
        <v>130</v>
      </c>
      <c r="L85" s="1">
        <v>3</v>
      </c>
      <c r="M85" s="1" t="s">
        <v>1</v>
      </c>
      <c r="N85" s="2">
        <v>43984</v>
      </c>
      <c r="O85" s="2">
        <v>44372</v>
      </c>
      <c r="P85" s="1" t="s">
        <v>12</v>
      </c>
    </row>
    <row r="86" spans="1:16" x14ac:dyDescent="0.2">
      <c r="A86" s="1">
        <v>83</v>
      </c>
      <c r="B86" s="1" t="s">
        <v>4</v>
      </c>
      <c r="C86" s="1" t="s">
        <v>11</v>
      </c>
      <c r="D86" s="1">
        <v>1014</v>
      </c>
      <c r="E86" s="1">
        <v>356642</v>
      </c>
      <c r="F86" s="1">
        <v>39</v>
      </c>
      <c r="G86" s="3">
        <v>13.1325016638857</v>
      </c>
      <c r="H86" s="3">
        <v>0.96558291399999996</v>
      </c>
      <c r="I86" s="6">
        <v>4.4307793267369497</v>
      </c>
      <c r="J86" s="6">
        <v>2.05703072628088</v>
      </c>
      <c r="K86" s="1" t="s">
        <v>130</v>
      </c>
      <c r="L86" s="1">
        <v>1</v>
      </c>
      <c r="M86" s="1" t="s">
        <v>1</v>
      </c>
      <c r="N86" s="2">
        <v>43984</v>
      </c>
      <c r="O86" s="2">
        <v>44936</v>
      </c>
      <c r="P86" s="1" t="s">
        <v>5</v>
      </c>
    </row>
    <row r="87" spans="1:16" x14ac:dyDescent="0.2">
      <c r="A87" s="1">
        <v>84</v>
      </c>
      <c r="B87" s="1" t="s">
        <v>4</v>
      </c>
      <c r="C87" s="1" t="s">
        <v>10</v>
      </c>
      <c r="D87" s="1">
        <v>1121</v>
      </c>
      <c r="E87" s="1">
        <v>443476</v>
      </c>
      <c r="F87" s="1">
        <v>42</v>
      </c>
      <c r="G87" s="3">
        <v>13.8359206955502</v>
      </c>
      <c r="H87" s="3">
        <v>0.92111750199999998</v>
      </c>
      <c r="I87" s="6">
        <v>4.7272739060819404</v>
      </c>
      <c r="J87" s="6">
        <v>2.1675887107849099</v>
      </c>
      <c r="K87" s="1" t="s">
        <v>130</v>
      </c>
      <c r="L87" s="1">
        <v>1</v>
      </c>
      <c r="M87" s="1" t="s">
        <v>1</v>
      </c>
      <c r="N87" s="2">
        <v>43984</v>
      </c>
      <c r="O87" s="2">
        <v>44726</v>
      </c>
      <c r="P87" s="1" t="s">
        <v>2</v>
      </c>
    </row>
    <row r="88" spans="1:16" x14ac:dyDescent="0.2">
      <c r="A88" s="1">
        <v>85</v>
      </c>
      <c r="B88" s="1" t="s">
        <v>4</v>
      </c>
      <c r="C88" s="1" t="s">
        <v>9</v>
      </c>
      <c r="D88" s="1">
        <v>936</v>
      </c>
      <c r="E88" s="1">
        <v>369059</v>
      </c>
      <c r="F88" s="1">
        <v>37</v>
      </c>
      <c r="G88" s="3">
        <v>13.3886122328135</v>
      </c>
      <c r="H88" s="3">
        <v>0.89130730499999999</v>
      </c>
      <c r="I88" s="6">
        <v>4.5213608456544598</v>
      </c>
      <c r="J88" s="6">
        <v>2.2270289547375302</v>
      </c>
      <c r="K88" s="1" t="s">
        <v>130</v>
      </c>
      <c r="L88" s="1">
        <v>1</v>
      </c>
      <c r="M88" s="1" t="s">
        <v>1</v>
      </c>
      <c r="N88" s="2">
        <v>43984</v>
      </c>
      <c r="O88" s="2">
        <v>44936</v>
      </c>
      <c r="P88" s="1" t="s">
        <v>5</v>
      </c>
    </row>
    <row r="89" spans="1:16" x14ac:dyDescent="0.2">
      <c r="A89" s="1">
        <v>86</v>
      </c>
      <c r="B89" s="1" t="s">
        <v>4</v>
      </c>
      <c r="C89" s="1" t="s">
        <v>8</v>
      </c>
      <c r="D89" s="1">
        <v>538</v>
      </c>
      <c r="E89" s="1">
        <v>301709</v>
      </c>
      <c r="F89" s="1">
        <v>25</v>
      </c>
      <c r="G89" s="3">
        <v>8.6801501395032794</v>
      </c>
      <c r="H89" s="3">
        <v>1.0473718359999999</v>
      </c>
      <c r="I89" s="6">
        <v>3.1106135432789399</v>
      </c>
      <c r="J89" s="6">
        <v>1.8391854763030999</v>
      </c>
      <c r="K89" s="1" t="s">
        <v>130</v>
      </c>
      <c r="L89" s="1">
        <v>1</v>
      </c>
      <c r="M89" s="1" t="s">
        <v>1</v>
      </c>
      <c r="N89" s="2">
        <v>43101</v>
      </c>
      <c r="O89" s="2">
        <v>43466</v>
      </c>
      <c r="P89" s="1" t="s">
        <v>7</v>
      </c>
    </row>
    <row r="90" spans="1:16" x14ac:dyDescent="0.2">
      <c r="A90" s="1">
        <v>87</v>
      </c>
      <c r="B90" s="1" t="s">
        <v>4</v>
      </c>
      <c r="C90" s="1" t="s">
        <v>6</v>
      </c>
      <c r="D90" s="1">
        <v>1196</v>
      </c>
      <c r="E90" s="1">
        <v>309974</v>
      </c>
      <c r="F90" s="1">
        <v>44</v>
      </c>
      <c r="G90" s="3">
        <v>13.7616285248093</v>
      </c>
      <c r="H90" s="3">
        <v>1.138892668</v>
      </c>
      <c r="I90" s="6">
        <v>4.6433538497633897</v>
      </c>
      <c r="J90" s="6">
        <v>1.87022187023409</v>
      </c>
      <c r="K90" s="1" t="s">
        <v>130</v>
      </c>
      <c r="L90" s="1">
        <v>1</v>
      </c>
      <c r="M90" s="1" t="s">
        <v>1</v>
      </c>
      <c r="N90" s="2">
        <v>43984</v>
      </c>
      <c r="O90" s="2">
        <v>44938</v>
      </c>
      <c r="P90" s="1" t="s">
        <v>5</v>
      </c>
    </row>
    <row r="91" spans="1:16" x14ac:dyDescent="0.2">
      <c r="A91" s="1">
        <v>88</v>
      </c>
      <c r="B91" s="1" t="s">
        <v>4</v>
      </c>
      <c r="C91" s="1" t="s">
        <v>3</v>
      </c>
      <c r="D91" s="1">
        <v>1313</v>
      </c>
      <c r="E91" s="1">
        <v>532198</v>
      </c>
      <c r="F91" s="1">
        <v>53</v>
      </c>
      <c r="G91" s="3">
        <v>16.610854888536</v>
      </c>
      <c r="H91" s="3">
        <v>1.078882498</v>
      </c>
      <c r="I91" s="6">
        <v>5.7039161413778201</v>
      </c>
      <c r="J91" s="6">
        <v>2.1675887107849099</v>
      </c>
      <c r="K91" s="1" t="s">
        <v>130</v>
      </c>
      <c r="L91" s="1">
        <v>1</v>
      </c>
      <c r="M91" s="1" t="s">
        <v>1</v>
      </c>
      <c r="N91" s="2">
        <v>43984</v>
      </c>
      <c r="O91" s="2">
        <v>44726</v>
      </c>
      <c r="P91" s="1" t="s">
        <v>2</v>
      </c>
    </row>
    <row r="92" spans="1:16" x14ac:dyDescent="0.2">
      <c r="A92" s="112" t="s">
        <v>155</v>
      </c>
      <c r="B92" s="112"/>
      <c r="C92" s="112"/>
      <c r="D92" s="15">
        <f t="shared" ref="D92:J92" si="0">MIN(D4:D91)</f>
        <v>315</v>
      </c>
      <c r="E92" s="15">
        <f t="shared" si="0"/>
        <v>184578</v>
      </c>
      <c r="F92" s="15">
        <f t="shared" si="0"/>
        <v>2</v>
      </c>
      <c r="G92" s="16">
        <f t="shared" si="0"/>
        <v>0.82437575187410905</v>
      </c>
      <c r="H92" s="16">
        <f t="shared" si="0"/>
        <v>0.61323815699999995</v>
      </c>
      <c r="I92" s="16">
        <f t="shared" si="0"/>
        <v>-0.35687175108056701</v>
      </c>
      <c r="J92" s="16">
        <f t="shared" si="0"/>
        <v>0.75125384330749501</v>
      </c>
      <c r="K92" s="105"/>
      <c r="L92" s="105"/>
      <c r="M92" s="105"/>
      <c r="N92" s="105"/>
      <c r="O92" s="105"/>
      <c r="P92" s="106"/>
    </row>
    <row r="93" spans="1:16" x14ac:dyDescent="0.2">
      <c r="A93" s="112" t="s">
        <v>156</v>
      </c>
      <c r="B93" s="112"/>
      <c r="C93" s="112"/>
      <c r="D93" s="15">
        <f t="shared" ref="D93:J93" si="1">MAX(D4:D91)</f>
        <v>1443</v>
      </c>
      <c r="E93" s="15">
        <f t="shared" si="1"/>
        <v>560564</v>
      </c>
      <c r="F93" s="15">
        <f t="shared" si="1"/>
        <v>53</v>
      </c>
      <c r="G93" s="16">
        <f t="shared" si="1"/>
        <v>16.610854888536</v>
      </c>
      <c r="H93" s="16">
        <f t="shared" si="1"/>
        <v>1.936808847</v>
      </c>
      <c r="I93" s="16">
        <f t="shared" si="1"/>
        <v>5.7039161413778201</v>
      </c>
      <c r="J93" s="16">
        <f t="shared" si="1"/>
        <v>4.2872109413146999</v>
      </c>
      <c r="K93" s="107"/>
      <c r="L93" s="107"/>
      <c r="M93" s="107"/>
      <c r="N93" s="107"/>
      <c r="O93" s="107"/>
      <c r="P93" s="108"/>
    </row>
    <row r="94" spans="1:16" x14ac:dyDescent="0.2">
      <c r="A94" s="112" t="s">
        <v>152</v>
      </c>
      <c r="B94" s="112"/>
      <c r="C94" s="112"/>
      <c r="D94" s="17">
        <f t="shared" ref="D94:J94" si="2">AVERAGE(D4:D91)</f>
        <v>805.61445783132535</v>
      </c>
      <c r="E94" s="17">
        <f t="shared" si="2"/>
        <v>336177.59036144579</v>
      </c>
      <c r="F94" s="17">
        <f t="shared" si="2"/>
        <v>25.386363636363637</v>
      </c>
      <c r="G94" s="17">
        <f t="shared" si="2"/>
        <v>8.1791345071616188</v>
      </c>
      <c r="H94" s="17">
        <f t="shared" si="2"/>
        <v>1.028965329807229</v>
      </c>
      <c r="I94" s="17">
        <f t="shared" si="2"/>
        <v>2.7263781690538722</v>
      </c>
      <c r="J94" s="17">
        <f t="shared" si="2"/>
        <v>1.9666097808868699</v>
      </c>
      <c r="K94" s="107"/>
      <c r="L94" s="107"/>
      <c r="M94" s="107"/>
      <c r="N94" s="107"/>
      <c r="O94" s="107"/>
      <c r="P94" s="108"/>
    </row>
    <row r="95" spans="1:16" x14ac:dyDescent="0.2">
      <c r="A95" s="112" t="s">
        <v>153</v>
      </c>
      <c r="B95" s="112"/>
      <c r="C95" s="112"/>
      <c r="D95" s="17">
        <f t="shared" ref="D95:J95" si="3">_xlfn.STDEV.S(D4:D91)</f>
        <v>306.05303347723424</v>
      </c>
      <c r="E95" s="17">
        <f t="shared" si="3"/>
        <v>97739.368120581988</v>
      </c>
      <c r="F95" s="17">
        <f t="shared" si="3"/>
        <v>12.299361555416056</v>
      </c>
      <c r="G95" s="17">
        <f t="shared" si="3"/>
        <v>3.976469909823928</v>
      </c>
      <c r="H95" s="17">
        <f t="shared" si="3"/>
        <v>0.25135970432091087</v>
      </c>
      <c r="I95" s="17">
        <f t="shared" si="3"/>
        <v>1.45751812549288</v>
      </c>
      <c r="J95" s="17">
        <f t="shared" si="3"/>
        <v>0.95009153143096114</v>
      </c>
      <c r="K95" s="107"/>
      <c r="L95" s="107"/>
      <c r="M95" s="107"/>
      <c r="N95" s="107"/>
      <c r="O95" s="107"/>
      <c r="P95" s="108"/>
    </row>
    <row r="96" spans="1:16" x14ac:dyDescent="0.2">
      <c r="A96" s="112" t="s">
        <v>154</v>
      </c>
      <c r="B96" s="112"/>
      <c r="C96" s="112"/>
      <c r="D96" s="18">
        <f>D95/D94</f>
        <v>0.37990012530449618</v>
      </c>
      <c r="E96" s="18">
        <f t="shared" ref="E96:J96" si="4">E95/E94</f>
        <v>0.29073730945449461</v>
      </c>
      <c r="F96" s="18">
        <f t="shared" si="4"/>
        <v>0.48448693682928062</v>
      </c>
      <c r="G96" s="18">
        <f t="shared" si="4"/>
        <v>0.48617245581939583</v>
      </c>
      <c r="H96" s="18">
        <f t="shared" si="4"/>
        <v>0.24428393944818502</v>
      </c>
      <c r="I96" s="18">
        <f t="shared" si="4"/>
        <v>0.53459866354441898</v>
      </c>
      <c r="J96" s="18">
        <f t="shared" si="4"/>
        <v>0.48311136284621964</v>
      </c>
      <c r="K96" s="109"/>
      <c r="L96" s="109"/>
      <c r="M96" s="109"/>
      <c r="N96" s="109"/>
      <c r="O96" s="109"/>
      <c r="P96" s="110"/>
    </row>
  </sheetData>
  <mergeCells count="7">
    <mergeCell ref="K92:P96"/>
    <mergeCell ref="A1:P1"/>
    <mergeCell ref="A94:C94"/>
    <mergeCell ref="A95:C95"/>
    <mergeCell ref="A96:C96"/>
    <mergeCell ref="A92:C92"/>
    <mergeCell ref="A93:C9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A70D-305B-D944-AA95-4C28741E864F}">
  <dimension ref="A1:P37"/>
  <sheetViews>
    <sheetView workbookViewId="0">
      <selection activeCell="J20" sqref="J20"/>
    </sheetView>
  </sheetViews>
  <sheetFormatPr baseColWidth="10" defaultRowHeight="16" x14ac:dyDescent="0.2"/>
  <cols>
    <col min="1" max="1" width="14.33203125" style="33" bestFit="1" customWidth="1"/>
    <col min="2" max="2" width="12.6640625" style="33" bestFit="1" customWidth="1"/>
    <col min="3" max="3" width="11.33203125" style="33" bestFit="1" customWidth="1"/>
    <col min="4" max="4" width="12.33203125" style="33" bestFit="1" customWidth="1"/>
    <col min="5" max="5" width="13" style="33" bestFit="1" customWidth="1"/>
    <col min="6" max="6" width="8.33203125" style="33" bestFit="1" customWidth="1"/>
    <col min="7" max="7" width="9.5" style="33" bestFit="1" customWidth="1"/>
    <col min="8" max="16384" width="10.83203125" style="33"/>
  </cols>
  <sheetData>
    <row r="1" spans="1:16" ht="78" customHeight="1" x14ac:dyDescent="0.2">
      <c r="A1" s="111" t="s">
        <v>261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3" spans="1:16" x14ac:dyDescent="0.2">
      <c r="A3" s="59" t="s">
        <v>250</v>
      </c>
      <c r="B3" s="59" t="s">
        <v>257</v>
      </c>
      <c r="C3" s="59" t="s">
        <v>238</v>
      </c>
      <c r="D3" s="59" t="s">
        <v>253</v>
      </c>
      <c r="E3" s="59" t="s">
        <v>254</v>
      </c>
      <c r="F3" s="59" t="s">
        <v>256</v>
      </c>
      <c r="G3" s="59" t="s">
        <v>259</v>
      </c>
    </row>
    <row r="4" spans="1:16" x14ac:dyDescent="0.2">
      <c r="A4" s="60" t="s">
        <v>258</v>
      </c>
      <c r="B4" s="60" t="s">
        <v>129</v>
      </c>
      <c r="C4" s="60">
        <v>3</v>
      </c>
      <c r="D4" s="60">
        <v>38.93</v>
      </c>
      <c r="E4" s="60">
        <v>12.978</v>
      </c>
      <c r="F4" s="60">
        <v>27.53</v>
      </c>
      <c r="G4" s="61">
        <v>1.7E-12</v>
      </c>
      <c r="O4" s="62"/>
    </row>
    <row r="5" spans="1:16" x14ac:dyDescent="0.2">
      <c r="A5" s="39"/>
      <c r="B5" s="39" t="s">
        <v>255</v>
      </c>
      <c r="C5" s="39">
        <v>84</v>
      </c>
      <c r="D5" s="39">
        <v>39.6</v>
      </c>
      <c r="E5" s="39">
        <v>0.47099999999999997</v>
      </c>
      <c r="F5" s="39"/>
      <c r="G5" s="41"/>
    </row>
    <row r="6" spans="1:16" x14ac:dyDescent="0.2">
      <c r="A6" s="63" t="s">
        <v>122</v>
      </c>
      <c r="B6" s="63" t="s">
        <v>129</v>
      </c>
      <c r="C6" s="64">
        <v>3</v>
      </c>
      <c r="D6" s="64">
        <v>2421768</v>
      </c>
      <c r="E6" s="64">
        <v>807256</v>
      </c>
      <c r="F6" s="64">
        <v>11.05</v>
      </c>
      <c r="G6" s="65">
        <v>3.45E-6</v>
      </c>
    </row>
    <row r="7" spans="1:16" x14ac:dyDescent="0.2">
      <c r="A7" s="66"/>
      <c r="B7" s="67" t="s">
        <v>255</v>
      </c>
      <c r="C7" s="68">
        <v>84</v>
      </c>
      <c r="D7" s="68">
        <v>6135329</v>
      </c>
      <c r="E7" s="68">
        <v>73040</v>
      </c>
      <c r="F7" s="68"/>
      <c r="G7" s="68"/>
    </row>
    <row r="8" spans="1:16" x14ac:dyDescent="0.2">
      <c r="A8" s="60" t="s">
        <v>120</v>
      </c>
      <c r="B8" s="60" t="s">
        <v>129</v>
      </c>
      <c r="C8" s="60">
        <v>3</v>
      </c>
      <c r="D8" s="60">
        <v>6577</v>
      </c>
      <c r="E8" s="60">
        <v>2192.3000000000002</v>
      </c>
      <c r="F8" s="60">
        <v>27.97</v>
      </c>
      <c r="G8" s="61">
        <v>1.23E-12</v>
      </c>
    </row>
    <row r="9" spans="1:16" x14ac:dyDescent="0.2">
      <c r="A9" s="39"/>
      <c r="B9" s="39" t="s">
        <v>255</v>
      </c>
      <c r="C9" s="39">
        <v>84</v>
      </c>
      <c r="D9" s="39">
        <v>6584</v>
      </c>
      <c r="E9" s="39">
        <v>78.400000000000006</v>
      </c>
      <c r="F9" s="39"/>
      <c r="G9" s="41"/>
    </row>
    <row r="10" spans="1:16" x14ac:dyDescent="0.2">
      <c r="A10" s="33" t="s">
        <v>119</v>
      </c>
      <c r="B10" s="33" t="s">
        <v>129</v>
      </c>
      <c r="C10" s="33">
        <v>3</v>
      </c>
      <c r="D10" s="33">
        <v>674.4</v>
      </c>
      <c r="E10" s="33">
        <v>224.79</v>
      </c>
      <c r="F10" s="33">
        <v>26.92</v>
      </c>
      <c r="G10" s="69">
        <v>2.69E-12</v>
      </c>
    </row>
    <row r="11" spans="1:16" x14ac:dyDescent="0.2">
      <c r="B11" s="33" t="s">
        <v>255</v>
      </c>
      <c r="C11" s="33">
        <v>84</v>
      </c>
      <c r="D11" s="33">
        <v>701.3</v>
      </c>
      <c r="E11" s="33">
        <v>8.35</v>
      </c>
    </row>
    <row r="13" spans="1:16" x14ac:dyDescent="0.2">
      <c r="A13" s="70" t="s">
        <v>251</v>
      </c>
      <c r="B13" s="59" t="s">
        <v>252</v>
      </c>
      <c r="C13" s="59" t="s">
        <v>145</v>
      </c>
      <c r="D13" s="59" t="s">
        <v>147</v>
      </c>
      <c r="E13" s="59" t="s">
        <v>146</v>
      </c>
      <c r="F13" s="59" t="s">
        <v>259</v>
      </c>
    </row>
    <row r="14" spans="1:16" x14ac:dyDescent="0.2">
      <c r="A14" s="113" t="s">
        <v>260</v>
      </c>
      <c r="B14" s="71" t="s">
        <v>139</v>
      </c>
      <c r="C14" s="72">
        <v>-1.255948517</v>
      </c>
      <c r="D14" s="72">
        <v>-1.8354680000000001</v>
      </c>
      <c r="E14" s="72">
        <v>-0.67642899999999995</v>
      </c>
      <c r="F14" s="73" t="s">
        <v>144</v>
      </c>
    </row>
    <row r="15" spans="1:16" x14ac:dyDescent="0.2">
      <c r="A15" s="113"/>
      <c r="B15" s="71" t="s">
        <v>140</v>
      </c>
      <c r="C15" s="72">
        <v>-1.5320831829999999</v>
      </c>
      <c r="D15" s="72">
        <v>-2.1248073999999999</v>
      </c>
      <c r="E15" s="72">
        <v>-0.93935900000000006</v>
      </c>
      <c r="F15" s="73" t="s">
        <v>144</v>
      </c>
    </row>
    <row r="16" spans="1:16" x14ac:dyDescent="0.2">
      <c r="A16" s="113"/>
      <c r="B16" s="80" t="s">
        <v>138</v>
      </c>
      <c r="C16" s="72">
        <v>-2.3271770000000002E-3</v>
      </c>
      <c r="D16" s="72">
        <v>-0.66095979999999999</v>
      </c>
      <c r="E16" s="72">
        <v>0.65630549999999999</v>
      </c>
      <c r="F16" s="74">
        <v>0.99999970000000005</v>
      </c>
    </row>
    <row r="17" spans="1:6" x14ac:dyDescent="0.2">
      <c r="A17" s="113"/>
      <c r="B17" s="80" t="s">
        <v>141</v>
      </c>
      <c r="C17" s="72">
        <v>-0.27613466599999997</v>
      </c>
      <c r="D17" s="72">
        <v>-0.74989410000000001</v>
      </c>
      <c r="E17" s="72">
        <v>0.19762479999999999</v>
      </c>
      <c r="F17" s="74">
        <v>0.42565320000000001</v>
      </c>
    </row>
    <row r="18" spans="1:6" x14ac:dyDescent="0.2">
      <c r="A18" s="113"/>
      <c r="B18" s="80" t="s">
        <v>142</v>
      </c>
      <c r="C18" s="72">
        <v>1.25362134</v>
      </c>
      <c r="D18" s="72">
        <v>0.69961499999999999</v>
      </c>
      <c r="E18" s="72">
        <v>1.8076277000000001</v>
      </c>
      <c r="F18" s="73" t="s">
        <v>144</v>
      </c>
    </row>
    <row r="19" spans="1:6" x14ac:dyDescent="0.2">
      <c r="A19" s="113"/>
      <c r="B19" s="80" t="s">
        <v>143</v>
      </c>
      <c r="C19" s="72">
        <v>1.5297560059999999</v>
      </c>
      <c r="D19" s="72">
        <v>0.96195129999999995</v>
      </c>
      <c r="E19" s="72">
        <v>2.0975606999999998</v>
      </c>
      <c r="F19" s="73" t="s">
        <v>144</v>
      </c>
    </row>
    <row r="20" spans="1:6" x14ac:dyDescent="0.2">
      <c r="A20" s="114" t="s">
        <v>122</v>
      </c>
      <c r="B20" s="75" t="s">
        <v>139</v>
      </c>
      <c r="C20" s="75">
        <v>278.2097</v>
      </c>
      <c r="D20" s="75">
        <v>50.100290000000001</v>
      </c>
      <c r="E20" s="75">
        <v>506.31905999999998</v>
      </c>
      <c r="F20" s="76">
        <v>1.0368499999999999E-2</v>
      </c>
    </row>
    <row r="21" spans="1:6" x14ac:dyDescent="0.2">
      <c r="A21" s="114"/>
      <c r="B21" s="75" t="s">
        <v>140</v>
      </c>
      <c r="C21" s="75">
        <v>397.9074</v>
      </c>
      <c r="D21" s="75">
        <v>164.60040000000001</v>
      </c>
      <c r="E21" s="75">
        <v>631.21442000000002</v>
      </c>
      <c r="F21" s="77" t="s">
        <v>144</v>
      </c>
    </row>
    <row r="22" spans="1:6" x14ac:dyDescent="0.2">
      <c r="A22" s="114"/>
      <c r="B22" s="81" t="s">
        <v>138</v>
      </c>
      <c r="C22" s="75">
        <v>-1.4375</v>
      </c>
      <c r="D22" s="75">
        <v>-260.68727000000001</v>
      </c>
      <c r="E22" s="75">
        <v>257.81227000000001</v>
      </c>
      <c r="F22" s="78">
        <v>0.99999890000000002</v>
      </c>
    </row>
    <row r="23" spans="1:6" x14ac:dyDescent="0.2">
      <c r="A23" s="114"/>
      <c r="B23" s="81" t="s">
        <v>141</v>
      </c>
      <c r="C23" s="75">
        <v>119.6977</v>
      </c>
      <c r="D23" s="75">
        <v>-66.782600000000002</v>
      </c>
      <c r="E23" s="75">
        <v>306.17806000000002</v>
      </c>
      <c r="F23" s="78">
        <v>0.33930539999999998</v>
      </c>
    </row>
    <row r="24" spans="1:6" x14ac:dyDescent="0.2">
      <c r="A24" s="114"/>
      <c r="B24" s="81" t="s">
        <v>142</v>
      </c>
      <c r="C24" s="75">
        <v>-279.6472</v>
      </c>
      <c r="D24" s="75">
        <v>-497.71413000000001</v>
      </c>
      <c r="E24" s="75">
        <v>-61.58023</v>
      </c>
      <c r="F24" s="76">
        <v>6.3081999999999999E-3</v>
      </c>
    </row>
    <row r="25" spans="1:6" x14ac:dyDescent="0.2">
      <c r="A25" s="114"/>
      <c r="B25" s="81" t="s">
        <v>143</v>
      </c>
      <c r="C25" s="75">
        <v>-399.3449</v>
      </c>
      <c r="D25" s="75">
        <v>-622.84315000000004</v>
      </c>
      <c r="E25" s="75">
        <v>-175.84666000000001</v>
      </c>
      <c r="F25" s="77" t="s">
        <v>144</v>
      </c>
    </row>
    <row r="26" spans="1:6" x14ac:dyDescent="0.2">
      <c r="A26" s="113" t="s">
        <v>120</v>
      </c>
      <c r="B26" s="71" t="s">
        <v>139</v>
      </c>
      <c r="C26" s="72">
        <v>14.163594</v>
      </c>
      <c r="D26" s="72">
        <v>6.6909830000000001</v>
      </c>
      <c r="E26" s="72">
        <v>21.636206000000001</v>
      </c>
      <c r="F26" s="73" t="s">
        <v>144</v>
      </c>
    </row>
    <row r="27" spans="1:6" x14ac:dyDescent="0.2">
      <c r="A27" s="113"/>
      <c r="B27" s="71" t="s">
        <v>140</v>
      </c>
      <c r="C27" s="72">
        <v>17.727512999999998</v>
      </c>
      <c r="D27" s="72">
        <v>10.084633</v>
      </c>
      <c r="E27" s="72">
        <v>25.370393</v>
      </c>
      <c r="F27" s="73" t="s">
        <v>144</v>
      </c>
    </row>
    <row r="28" spans="1:6" x14ac:dyDescent="0.2">
      <c r="A28" s="113"/>
      <c r="B28" s="80" t="s">
        <v>138</v>
      </c>
      <c r="C28" s="72">
        <v>-3.7678569999999998</v>
      </c>
      <c r="D28" s="72">
        <v>-12.260593</v>
      </c>
      <c r="E28" s="72">
        <v>4.7248789999999996</v>
      </c>
      <c r="F28" s="74">
        <v>0.65174449999999995</v>
      </c>
    </row>
    <row r="29" spans="1:6" x14ac:dyDescent="0.2">
      <c r="A29" s="113"/>
      <c r="B29" s="80" t="s">
        <v>141</v>
      </c>
      <c r="C29" s="72">
        <v>3.5639189999999998</v>
      </c>
      <c r="D29" s="72">
        <v>-2.5449709999999999</v>
      </c>
      <c r="E29" s="72">
        <v>9.6728079999999999</v>
      </c>
      <c r="F29" s="74">
        <v>0.42482249999999999</v>
      </c>
    </row>
    <row r="30" spans="1:6" x14ac:dyDescent="0.2">
      <c r="A30" s="113"/>
      <c r="B30" s="80" t="s">
        <v>142</v>
      </c>
      <c r="C30" s="72">
        <v>-17.931452</v>
      </c>
      <c r="D30" s="72">
        <v>-25.075084</v>
      </c>
      <c r="E30" s="72">
        <v>-10.787819000000001</v>
      </c>
      <c r="F30" s="73" t="s">
        <v>144</v>
      </c>
    </row>
    <row r="31" spans="1:6" x14ac:dyDescent="0.2">
      <c r="A31" s="113"/>
      <c r="B31" s="80" t="s">
        <v>143</v>
      </c>
      <c r="C31" s="72">
        <v>-21.495370000000001</v>
      </c>
      <c r="D31" s="72">
        <v>-28.816925999999999</v>
      </c>
      <c r="E31" s="72">
        <v>-14.173814999999999</v>
      </c>
      <c r="F31" s="73" t="s">
        <v>144</v>
      </c>
    </row>
    <row r="32" spans="1:6" x14ac:dyDescent="0.2">
      <c r="A32" s="114" t="s">
        <v>137</v>
      </c>
      <c r="B32" s="75" t="s">
        <v>139</v>
      </c>
      <c r="C32" s="78">
        <v>4.5386629999999997</v>
      </c>
      <c r="D32" s="78">
        <v>2.0998413</v>
      </c>
      <c r="E32" s="78">
        <v>6.9774859999999999</v>
      </c>
      <c r="F32" s="77" t="s">
        <v>144</v>
      </c>
    </row>
    <row r="33" spans="1:6" x14ac:dyDescent="0.2">
      <c r="A33" s="114"/>
      <c r="B33" s="75" t="s">
        <v>140</v>
      </c>
      <c r="C33" s="78">
        <v>5.6210789999999999</v>
      </c>
      <c r="D33" s="78">
        <v>3.1266861000000001</v>
      </c>
      <c r="E33" s="78">
        <v>8.1154709999999994</v>
      </c>
      <c r="F33" s="77" t="s">
        <v>144</v>
      </c>
    </row>
    <row r="34" spans="1:6" x14ac:dyDescent="0.2">
      <c r="A34" s="114"/>
      <c r="B34" s="81" t="s">
        <v>138</v>
      </c>
      <c r="C34" s="78">
        <v>-1.2592639999999999</v>
      </c>
      <c r="D34" s="78">
        <v>-4.0310224999999997</v>
      </c>
      <c r="E34" s="78">
        <v>1.512494</v>
      </c>
      <c r="F34" s="79">
        <v>0.63428519999999999</v>
      </c>
    </row>
    <row r="35" spans="1:6" x14ac:dyDescent="0.2">
      <c r="A35" s="114"/>
      <c r="B35" s="81" t="s">
        <v>141</v>
      </c>
      <c r="C35" s="78">
        <v>1.0824149999999999</v>
      </c>
      <c r="D35" s="78">
        <v>-0.91133180000000003</v>
      </c>
      <c r="E35" s="78">
        <v>3.0761620000000001</v>
      </c>
      <c r="F35" s="79">
        <v>0.48866549999999997</v>
      </c>
    </row>
    <row r="36" spans="1:6" x14ac:dyDescent="0.2">
      <c r="A36" s="114"/>
      <c r="B36" s="81" t="s">
        <v>142</v>
      </c>
      <c r="C36" s="78">
        <v>-5.7979279999999997</v>
      </c>
      <c r="D36" s="78">
        <v>-8.1293816000000003</v>
      </c>
      <c r="E36" s="78">
        <v>-3.4664739999999998</v>
      </c>
      <c r="F36" s="77" t="s">
        <v>144</v>
      </c>
    </row>
    <row r="37" spans="1:6" x14ac:dyDescent="0.2">
      <c r="A37" s="114"/>
      <c r="B37" s="81" t="s">
        <v>143</v>
      </c>
      <c r="C37" s="78">
        <v>-6.8803429999999999</v>
      </c>
      <c r="D37" s="78">
        <v>-9.2698651000000005</v>
      </c>
      <c r="E37" s="78">
        <v>-4.4908200000000003</v>
      </c>
      <c r="F37" s="77" t="s">
        <v>144</v>
      </c>
    </row>
  </sheetData>
  <mergeCells count="5">
    <mergeCell ref="A26:A31"/>
    <mergeCell ref="A32:A37"/>
    <mergeCell ref="A20:A25"/>
    <mergeCell ref="A14:A19"/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5DA6-F0BD-FF45-9165-F483011314BB}">
  <dimension ref="A1:G11"/>
  <sheetViews>
    <sheetView workbookViewId="0">
      <selection activeCell="B10" sqref="B10"/>
    </sheetView>
  </sheetViews>
  <sheetFormatPr baseColWidth="10" defaultRowHeight="16" x14ac:dyDescent="0.2"/>
  <cols>
    <col min="1" max="7" width="21.33203125" customWidth="1"/>
  </cols>
  <sheetData>
    <row r="1" spans="1:7" ht="85" customHeight="1" x14ac:dyDescent="0.2">
      <c r="A1" s="111" t="s">
        <v>274</v>
      </c>
      <c r="B1" s="111"/>
      <c r="C1" s="111"/>
      <c r="D1" s="111"/>
      <c r="E1" s="111"/>
      <c r="F1" s="111"/>
      <c r="G1" s="111"/>
    </row>
    <row r="3" spans="1:7" x14ac:dyDescent="0.2">
      <c r="A3" s="82" t="s">
        <v>262</v>
      </c>
      <c r="B3" s="82" t="s">
        <v>222</v>
      </c>
      <c r="C3" s="82" t="s">
        <v>223</v>
      </c>
      <c r="D3" s="82" t="s">
        <v>224</v>
      </c>
      <c r="E3" s="82" t="s">
        <v>225</v>
      </c>
    </row>
    <row r="4" spans="1:7" x14ac:dyDescent="0.2">
      <c r="A4" s="33" t="s">
        <v>226</v>
      </c>
      <c r="B4" s="48">
        <v>0.16400000000000001</v>
      </c>
      <c r="C4" s="48">
        <v>3.5999999999999997E-2</v>
      </c>
      <c r="D4" s="33">
        <v>4.5199999999999996</v>
      </c>
      <c r="E4" s="49" t="s">
        <v>263</v>
      </c>
    </row>
    <row r="5" spans="1:7" x14ac:dyDescent="0.2">
      <c r="A5" s="33" t="s">
        <v>303</v>
      </c>
      <c r="B5" s="48">
        <v>-0.254</v>
      </c>
      <c r="C5" s="48">
        <v>0.05</v>
      </c>
      <c r="D5" s="33">
        <v>-5.07</v>
      </c>
      <c r="E5" s="49" t="s">
        <v>264</v>
      </c>
    </row>
    <row r="6" spans="1:7" x14ac:dyDescent="0.2">
      <c r="A6" s="82" t="s">
        <v>265</v>
      </c>
      <c r="B6" s="82" t="s">
        <v>266</v>
      </c>
      <c r="C6" s="33"/>
      <c r="D6" s="33"/>
      <c r="E6" s="33"/>
    </row>
    <row r="7" spans="1:7" x14ac:dyDescent="0.2">
      <c r="A7" s="33" t="s">
        <v>267</v>
      </c>
      <c r="B7" s="84" t="s">
        <v>268</v>
      </c>
      <c r="C7" s="33"/>
      <c r="D7" s="33"/>
      <c r="E7" s="33"/>
    </row>
    <row r="8" spans="1:7" x14ac:dyDescent="0.2">
      <c r="A8" s="33" t="s">
        <v>269</v>
      </c>
      <c r="B8" s="84" t="s">
        <v>270</v>
      </c>
      <c r="C8" s="33"/>
      <c r="D8" s="33"/>
      <c r="E8" s="33"/>
    </row>
    <row r="9" spans="1:7" x14ac:dyDescent="0.2">
      <c r="A9" s="33" t="s">
        <v>271</v>
      </c>
      <c r="B9" s="83">
        <v>0.249</v>
      </c>
      <c r="C9" s="33"/>
      <c r="D9" s="33"/>
      <c r="E9" s="33"/>
    </row>
    <row r="10" spans="1:7" x14ac:dyDescent="0.2">
      <c r="A10" s="33" t="s">
        <v>272</v>
      </c>
      <c r="B10" s="33">
        <v>-23.29</v>
      </c>
      <c r="C10" s="33"/>
      <c r="D10" s="33"/>
      <c r="E10" s="33"/>
    </row>
    <row r="11" spans="1:7" x14ac:dyDescent="0.2">
      <c r="A11" s="33" t="s">
        <v>273</v>
      </c>
      <c r="B11" s="33">
        <v>83</v>
      </c>
      <c r="C11" s="33"/>
      <c r="D11" s="33"/>
      <c r="E11" s="33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5DA-5DB6-284D-AAE2-1AB5C7365AE9}">
  <dimension ref="A1:N64"/>
  <sheetViews>
    <sheetView workbookViewId="0">
      <selection activeCell="B5" sqref="B5:B9"/>
    </sheetView>
  </sheetViews>
  <sheetFormatPr baseColWidth="10" defaultRowHeight="16" x14ac:dyDescent="0.2"/>
  <cols>
    <col min="2" max="2" width="20.1640625" bestFit="1" customWidth="1"/>
    <col min="5" max="5" width="20.1640625" bestFit="1" customWidth="1"/>
    <col min="6" max="6" width="10.1640625" bestFit="1" customWidth="1"/>
  </cols>
  <sheetData>
    <row r="1" spans="1:14" ht="69" customHeight="1" x14ac:dyDescent="0.2">
      <c r="A1" s="111" t="s">
        <v>287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x14ac:dyDescent="0.2">
      <c r="A2" s="5"/>
      <c r="B2" s="115" t="s">
        <v>215</v>
      </c>
      <c r="C2" s="115"/>
      <c r="D2" s="115"/>
      <c r="E2" s="116" t="s">
        <v>216</v>
      </c>
      <c r="F2" s="116"/>
      <c r="G2" s="116"/>
    </row>
    <row r="3" spans="1:14" x14ac:dyDescent="0.2">
      <c r="A3" s="5"/>
      <c r="B3" s="103" t="s">
        <v>209</v>
      </c>
      <c r="C3" s="103" t="s">
        <v>210</v>
      </c>
      <c r="D3" s="103" t="s">
        <v>211</v>
      </c>
      <c r="E3" s="104" t="s">
        <v>212</v>
      </c>
      <c r="F3" s="104" t="s">
        <v>217</v>
      </c>
      <c r="G3" s="104" t="s">
        <v>213</v>
      </c>
    </row>
    <row r="4" spans="1:14" x14ac:dyDescent="0.2">
      <c r="A4" s="5">
        <v>1</v>
      </c>
      <c r="B4" s="5" t="s">
        <v>117</v>
      </c>
      <c r="C4" s="5">
        <v>1325</v>
      </c>
      <c r="D4" s="20">
        <f>C4/5673</f>
        <v>0.23356248898290147</v>
      </c>
      <c r="E4" s="97" t="s">
        <v>116</v>
      </c>
      <c r="F4" s="98">
        <v>7875050</v>
      </c>
      <c r="G4" s="99">
        <f>F4/18877702</f>
        <v>0.41716147442098622</v>
      </c>
    </row>
    <row r="5" spans="1:14" x14ac:dyDescent="0.2">
      <c r="A5" s="5">
        <v>2</v>
      </c>
      <c r="B5" s="5" t="s">
        <v>115</v>
      </c>
      <c r="C5" s="5">
        <v>825</v>
      </c>
      <c r="D5" s="20">
        <f t="shared" ref="D5:D60" si="0">C5/5673</f>
        <v>0.14542570068746694</v>
      </c>
      <c r="E5" s="97" t="s">
        <v>117</v>
      </c>
      <c r="F5" s="98">
        <v>5316613</v>
      </c>
      <c r="G5" s="99">
        <f t="shared" ref="G5:G60" si="1">F5/18877702</f>
        <v>0.28163454428934198</v>
      </c>
    </row>
    <row r="6" spans="1:14" x14ac:dyDescent="0.2">
      <c r="A6" s="5">
        <v>3</v>
      </c>
      <c r="B6" s="5" t="s">
        <v>116</v>
      </c>
      <c r="C6" s="5">
        <v>608</v>
      </c>
      <c r="D6" s="20">
        <f t="shared" si="0"/>
        <v>0.10717433456724837</v>
      </c>
      <c r="E6" s="97" t="s">
        <v>112</v>
      </c>
      <c r="F6" s="98">
        <v>1465483</v>
      </c>
      <c r="G6" s="99">
        <f t="shared" si="1"/>
        <v>7.7630370476236985E-2</v>
      </c>
    </row>
    <row r="7" spans="1:14" x14ac:dyDescent="0.2">
      <c r="A7" s="5">
        <v>4</v>
      </c>
      <c r="B7" s="5" t="s">
        <v>113</v>
      </c>
      <c r="C7" s="5">
        <v>501</v>
      </c>
      <c r="D7" s="20">
        <f t="shared" si="0"/>
        <v>8.8313061872025381E-2</v>
      </c>
      <c r="E7" s="97" t="s">
        <v>165</v>
      </c>
      <c r="F7" s="98">
        <v>901222</v>
      </c>
      <c r="G7" s="99">
        <f t="shared" si="1"/>
        <v>4.7740026831655673E-2</v>
      </c>
    </row>
    <row r="8" spans="1:14" x14ac:dyDescent="0.2">
      <c r="A8" s="5">
        <v>5</v>
      </c>
      <c r="B8" s="5" t="s">
        <v>114</v>
      </c>
      <c r="C8" s="5">
        <v>448</v>
      </c>
      <c r="D8" s="20">
        <f t="shared" si="0"/>
        <v>7.8970562312709325E-2</v>
      </c>
      <c r="E8" s="97" t="s">
        <v>161</v>
      </c>
      <c r="F8" s="98">
        <v>808644</v>
      </c>
      <c r="G8" s="99">
        <f t="shared" si="1"/>
        <v>4.28359341619017E-2</v>
      </c>
    </row>
    <row r="9" spans="1:14" x14ac:dyDescent="0.2">
      <c r="A9" s="5">
        <v>6</v>
      </c>
      <c r="B9" s="5" t="s">
        <v>111</v>
      </c>
      <c r="C9" s="5">
        <v>332</v>
      </c>
      <c r="D9" s="20">
        <f t="shared" si="0"/>
        <v>5.8522827428168521E-2</v>
      </c>
      <c r="E9" s="97" t="s">
        <v>113</v>
      </c>
      <c r="F9" s="98">
        <v>672675</v>
      </c>
      <c r="G9" s="99">
        <f t="shared" si="1"/>
        <v>3.5633309605162748E-2</v>
      </c>
    </row>
    <row r="10" spans="1:14" x14ac:dyDescent="0.2">
      <c r="A10" s="5">
        <v>7</v>
      </c>
      <c r="B10" s="5" t="s">
        <v>159</v>
      </c>
      <c r="C10" s="5">
        <v>211</v>
      </c>
      <c r="D10" s="20">
        <f t="shared" si="0"/>
        <v>3.7193724660673368E-2</v>
      </c>
      <c r="E10" s="97" t="s">
        <v>111</v>
      </c>
      <c r="F10" s="98">
        <v>578582</v>
      </c>
      <c r="G10" s="99">
        <f t="shared" si="1"/>
        <v>3.0648963523208492E-2</v>
      </c>
    </row>
    <row r="11" spans="1:14" x14ac:dyDescent="0.2">
      <c r="A11" s="5">
        <v>8</v>
      </c>
      <c r="B11" s="5" t="s">
        <v>112</v>
      </c>
      <c r="C11" s="5">
        <v>198</v>
      </c>
      <c r="D11" s="20">
        <f t="shared" si="0"/>
        <v>3.4902168164992066E-2</v>
      </c>
      <c r="E11" s="97" t="s">
        <v>162</v>
      </c>
      <c r="F11" s="98">
        <v>411556</v>
      </c>
      <c r="G11" s="99">
        <f t="shared" si="1"/>
        <v>2.1801170502638509E-2</v>
      </c>
    </row>
    <row r="12" spans="1:14" x14ac:dyDescent="0.2">
      <c r="A12" s="5">
        <v>9</v>
      </c>
      <c r="B12" s="5" t="s">
        <v>160</v>
      </c>
      <c r="C12" s="5">
        <v>163</v>
      </c>
      <c r="D12" s="20">
        <f t="shared" si="0"/>
        <v>2.8732592984311651E-2</v>
      </c>
      <c r="E12" s="97" t="s">
        <v>114</v>
      </c>
      <c r="F12" s="98">
        <v>354131</v>
      </c>
      <c r="G12" s="99">
        <f t="shared" si="1"/>
        <v>1.8759221858677504E-2</v>
      </c>
    </row>
    <row r="13" spans="1:14" x14ac:dyDescent="0.2">
      <c r="A13" s="5">
        <v>10</v>
      </c>
      <c r="B13" s="5" t="s">
        <v>161</v>
      </c>
      <c r="C13" s="5">
        <v>141</v>
      </c>
      <c r="D13" s="20">
        <f t="shared" si="0"/>
        <v>2.4854574299312534E-2</v>
      </c>
      <c r="E13" s="97" t="s">
        <v>166</v>
      </c>
      <c r="F13" s="98">
        <v>193015</v>
      </c>
      <c r="G13" s="99">
        <f t="shared" si="1"/>
        <v>1.0224496604512561E-2</v>
      </c>
    </row>
    <row r="14" spans="1:14" x14ac:dyDescent="0.2">
      <c r="A14" s="5">
        <v>11</v>
      </c>
      <c r="B14" s="5" t="s">
        <v>162</v>
      </c>
      <c r="C14" s="5">
        <v>138</v>
      </c>
      <c r="D14" s="20">
        <f t="shared" si="0"/>
        <v>2.4325753569539928E-2</v>
      </c>
      <c r="E14" s="97" t="s">
        <v>198</v>
      </c>
      <c r="F14" s="98">
        <v>107687</v>
      </c>
      <c r="G14" s="99">
        <f t="shared" si="1"/>
        <v>5.7044549172351596E-3</v>
      </c>
    </row>
    <row r="15" spans="1:14" x14ac:dyDescent="0.2">
      <c r="A15" s="5">
        <v>12</v>
      </c>
      <c r="B15" s="5" t="s">
        <v>163</v>
      </c>
      <c r="C15" s="5">
        <v>108</v>
      </c>
      <c r="D15" s="20">
        <f t="shared" si="0"/>
        <v>1.9037546271813855E-2</v>
      </c>
      <c r="E15" s="97" t="s">
        <v>115</v>
      </c>
      <c r="F15" s="98">
        <v>79096</v>
      </c>
      <c r="G15" s="99">
        <f t="shared" si="1"/>
        <v>4.1899167599954695E-3</v>
      </c>
    </row>
    <row r="16" spans="1:14" x14ac:dyDescent="0.2">
      <c r="A16" s="5">
        <v>13</v>
      </c>
      <c r="B16" s="5" t="s">
        <v>164</v>
      </c>
      <c r="C16" s="5">
        <v>101</v>
      </c>
      <c r="D16" s="20">
        <f t="shared" si="0"/>
        <v>1.7803631235677773E-2</v>
      </c>
      <c r="E16" s="97" t="s">
        <v>172</v>
      </c>
      <c r="F16" s="98">
        <v>33982</v>
      </c>
      <c r="G16" s="99">
        <f t="shared" si="1"/>
        <v>1.8001131705543396E-3</v>
      </c>
    </row>
    <row r="17" spans="1:7" x14ac:dyDescent="0.2">
      <c r="A17" s="5">
        <v>14</v>
      </c>
      <c r="B17" s="5" t="s">
        <v>165</v>
      </c>
      <c r="C17" s="5">
        <v>93</v>
      </c>
      <c r="D17" s="20">
        <f t="shared" si="0"/>
        <v>1.6393442622950821E-2</v>
      </c>
      <c r="E17" s="97" t="s">
        <v>163</v>
      </c>
      <c r="F17" s="98">
        <v>21727</v>
      </c>
      <c r="G17" s="99">
        <f t="shared" si="1"/>
        <v>1.1509345787956606E-3</v>
      </c>
    </row>
    <row r="18" spans="1:7" x14ac:dyDescent="0.2">
      <c r="A18" s="5">
        <v>15</v>
      </c>
      <c r="B18" s="5" t="s">
        <v>166</v>
      </c>
      <c r="C18" s="5">
        <v>69</v>
      </c>
      <c r="D18" s="20">
        <f t="shared" si="0"/>
        <v>1.2162876784769964E-2</v>
      </c>
      <c r="E18" s="97" t="s">
        <v>164</v>
      </c>
      <c r="F18" s="98">
        <v>18233</v>
      </c>
      <c r="G18" s="99">
        <f t="shared" si="1"/>
        <v>9.6584849151660514E-4</v>
      </c>
    </row>
    <row r="19" spans="1:7" x14ac:dyDescent="0.2">
      <c r="A19" s="5">
        <v>16</v>
      </c>
      <c r="B19" s="5" t="s">
        <v>167</v>
      </c>
      <c r="C19" s="5">
        <v>62</v>
      </c>
      <c r="D19" s="20">
        <f t="shared" si="0"/>
        <v>1.092896174863388E-2</v>
      </c>
      <c r="E19" s="97" t="s">
        <v>168</v>
      </c>
      <c r="F19" s="98">
        <v>14600</v>
      </c>
      <c r="G19" s="99">
        <f t="shared" si="1"/>
        <v>7.7339921988386082E-4</v>
      </c>
    </row>
    <row r="20" spans="1:7" x14ac:dyDescent="0.2">
      <c r="A20" s="5">
        <v>17</v>
      </c>
      <c r="B20" s="5" t="s">
        <v>168</v>
      </c>
      <c r="C20" s="5">
        <v>60</v>
      </c>
      <c r="D20" s="20">
        <f t="shared" si="0"/>
        <v>1.0576414595452142E-2</v>
      </c>
      <c r="E20" s="97" t="s">
        <v>181</v>
      </c>
      <c r="F20" s="98">
        <v>7982</v>
      </c>
      <c r="G20" s="99">
        <f t="shared" si="1"/>
        <v>4.2282688856938203E-4</v>
      </c>
    </row>
    <row r="21" spans="1:7" x14ac:dyDescent="0.2">
      <c r="A21" s="5">
        <v>18</v>
      </c>
      <c r="B21" s="5" t="s">
        <v>169</v>
      </c>
      <c r="C21" s="5">
        <v>46</v>
      </c>
      <c r="D21" s="20">
        <f t="shared" si="0"/>
        <v>8.1085845231799753E-3</v>
      </c>
      <c r="E21" s="97" t="s">
        <v>159</v>
      </c>
      <c r="F21" s="98">
        <v>4840</v>
      </c>
      <c r="G21" s="99">
        <f t="shared" si="1"/>
        <v>2.5638713864643061E-4</v>
      </c>
    </row>
    <row r="22" spans="1:7" x14ac:dyDescent="0.2">
      <c r="A22" s="5">
        <v>19</v>
      </c>
      <c r="B22" s="5" t="s">
        <v>170</v>
      </c>
      <c r="C22" s="5">
        <v>36</v>
      </c>
      <c r="D22" s="20">
        <f t="shared" si="0"/>
        <v>6.345848757271285E-3</v>
      </c>
      <c r="E22" s="97" t="s">
        <v>167</v>
      </c>
      <c r="F22" s="98">
        <v>2346</v>
      </c>
      <c r="G22" s="99">
        <f t="shared" si="1"/>
        <v>1.2427360067448888E-4</v>
      </c>
    </row>
    <row r="23" spans="1:7" x14ac:dyDescent="0.2">
      <c r="A23" s="5">
        <v>20</v>
      </c>
      <c r="B23" s="5" t="s">
        <v>171</v>
      </c>
      <c r="C23" s="5">
        <v>33</v>
      </c>
      <c r="D23" s="20">
        <f t="shared" si="0"/>
        <v>5.8170280274986779E-3</v>
      </c>
      <c r="E23" s="97" t="s">
        <v>160</v>
      </c>
      <c r="F23" s="98">
        <v>2037</v>
      </c>
      <c r="G23" s="99">
        <f t="shared" si="1"/>
        <v>1.0790508293859072E-4</v>
      </c>
    </row>
    <row r="24" spans="1:7" x14ac:dyDescent="0.2">
      <c r="A24" s="5">
        <v>21</v>
      </c>
      <c r="B24" s="5" t="s">
        <v>172</v>
      </c>
      <c r="C24" s="5">
        <v>23</v>
      </c>
      <c r="D24" s="20">
        <f t="shared" si="0"/>
        <v>4.0542922615899877E-3</v>
      </c>
      <c r="E24" s="97" t="s">
        <v>171</v>
      </c>
      <c r="F24" s="98">
        <v>1837</v>
      </c>
      <c r="G24" s="99">
        <f t="shared" si="1"/>
        <v>9.731057307716797E-5</v>
      </c>
    </row>
    <row r="25" spans="1:7" x14ac:dyDescent="0.2">
      <c r="A25" s="5">
        <v>22</v>
      </c>
      <c r="B25" s="5" t="s">
        <v>173</v>
      </c>
      <c r="C25" s="5">
        <v>22</v>
      </c>
      <c r="D25" s="20">
        <f t="shared" si="0"/>
        <v>3.8780186849991186E-3</v>
      </c>
      <c r="E25" s="97" t="s">
        <v>182</v>
      </c>
      <c r="F25" s="98">
        <v>1215</v>
      </c>
      <c r="G25" s="99">
        <f t="shared" si="1"/>
        <v>6.4361647408143211E-5</v>
      </c>
    </row>
    <row r="26" spans="1:7" x14ac:dyDescent="0.2">
      <c r="A26" s="5">
        <v>23</v>
      </c>
      <c r="B26" s="5" t="s">
        <v>174</v>
      </c>
      <c r="C26" s="5">
        <v>22</v>
      </c>
      <c r="D26" s="20">
        <f t="shared" si="0"/>
        <v>3.8780186849991186E-3</v>
      </c>
      <c r="E26" s="97" t="s">
        <v>169</v>
      </c>
      <c r="F26" s="98">
        <v>954</v>
      </c>
      <c r="G26" s="99">
        <f t="shared" si="1"/>
        <v>5.0535812038986525E-5</v>
      </c>
    </row>
    <row r="27" spans="1:7" x14ac:dyDescent="0.2">
      <c r="A27" s="5">
        <v>24</v>
      </c>
      <c r="B27" s="5" t="s">
        <v>175</v>
      </c>
      <c r="C27" s="5">
        <v>11</v>
      </c>
      <c r="D27" s="20">
        <f t="shared" si="0"/>
        <v>1.9390093424995593E-3</v>
      </c>
      <c r="E27" s="97" t="s">
        <v>173</v>
      </c>
      <c r="F27" s="98">
        <v>931</v>
      </c>
      <c r="G27" s="100">
        <f t="shared" si="1"/>
        <v>4.9317443404922909E-5</v>
      </c>
    </row>
    <row r="28" spans="1:7" x14ac:dyDescent="0.2">
      <c r="A28" s="5">
        <v>25</v>
      </c>
      <c r="B28" s="5" t="s">
        <v>176</v>
      </c>
      <c r="C28" s="5">
        <v>10</v>
      </c>
      <c r="D28" s="20">
        <f t="shared" si="0"/>
        <v>1.7627357659086903E-3</v>
      </c>
      <c r="E28" s="97" t="s">
        <v>178</v>
      </c>
      <c r="F28" s="98">
        <v>443</v>
      </c>
      <c r="G28" s="100">
        <f t="shared" si="1"/>
        <v>2.3466839343051393E-5</v>
      </c>
    </row>
    <row r="29" spans="1:7" x14ac:dyDescent="0.2">
      <c r="A29" s="5">
        <v>26</v>
      </c>
      <c r="B29" s="5" t="s">
        <v>177</v>
      </c>
      <c r="C29" s="5">
        <v>8</v>
      </c>
      <c r="D29" s="20">
        <f t="shared" si="0"/>
        <v>1.4101886127269522E-3</v>
      </c>
      <c r="E29" s="97" t="s">
        <v>185</v>
      </c>
      <c r="F29" s="98">
        <v>371</v>
      </c>
      <c r="G29" s="100">
        <f t="shared" si="1"/>
        <v>1.9652815792939204E-5</v>
      </c>
    </row>
    <row r="30" spans="1:7" x14ac:dyDescent="0.2">
      <c r="A30" s="5">
        <v>27</v>
      </c>
      <c r="B30" s="5" t="s">
        <v>178</v>
      </c>
      <c r="C30" s="5">
        <v>7</v>
      </c>
      <c r="D30" s="20">
        <f t="shared" si="0"/>
        <v>1.2339150361360832E-3</v>
      </c>
      <c r="E30" s="97" t="s">
        <v>170</v>
      </c>
      <c r="F30" s="98">
        <v>353</v>
      </c>
      <c r="G30" s="100">
        <f t="shared" si="1"/>
        <v>1.8699309905411156E-5</v>
      </c>
    </row>
    <row r="31" spans="1:7" x14ac:dyDescent="0.2">
      <c r="A31" s="5">
        <v>28</v>
      </c>
      <c r="B31" s="5" t="s">
        <v>179</v>
      </c>
      <c r="C31" s="5">
        <v>7</v>
      </c>
      <c r="D31" s="20">
        <f t="shared" si="0"/>
        <v>1.2339150361360832E-3</v>
      </c>
      <c r="E31" s="97" t="s">
        <v>174</v>
      </c>
      <c r="F31" s="98">
        <v>320</v>
      </c>
      <c r="G31" s="100">
        <f t="shared" si="1"/>
        <v>1.6951215778276402E-5</v>
      </c>
    </row>
    <row r="32" spans="1:7" x14ac:dyDescent="0.2">
      <c r="A32" s="5">
        <v>29</v>
      </c>
      <c r="B32" s="5" t="s">
        <v>180</v>
      </c>
      <c r="C32" s="5">
        <v>5</v>
      </c>
      <c r="D32" s="20">
        <f t="shared" si="0"/>
        <v>8.8136788295434514E-4</v>
      </c>
      <c r="E32" s="97" t="s">
        <v>180</v>
      </c>
      <c r="F32" s="98">
        <v>315</v>
      </c>
      <c r="G32" s="100">
        <f t="shared" si="1"/>
        <v>1.6686353031740833E-5</v>
      </c>
    </row>
    <row r="33" spans="1:7" x14ac:dyDescent="0.2">
      <c r="A33" s="5">
        <v>30</v>
      </c>
      <c r="B33" s="5" t="s">
        <v>181</v>
      </c>
      <c r="C33" s="5">
        <v>5</v>
      </c>
      <c r="D33" s="20">
        <f t="shared" si="0"/>
        <v>8.8136788295434514E-4</v>
      </c>
      <c r="E33" s="97" t="s">
        <v>176</v>
      </c>
      <c r="F33" s="98">
        <v>218</v>
      </c>
      <c r="G33" s="100">
        <f t="shared" si="1"/>
        <v>1.1548015748950799E-5</v>
      </c>
    </row>
    <row r="34" spans="1:7" x14ac:dyDescent="0.2">
      <c r="A34" s="5">
        <v>31</v>
      </c>
      <c r="B34" s="5" t="s">
        <v>182</v>
      </c>
      <c r="C34" s="5">
        <v>5</v>
      </c>
      <c r="D34" s="20">
        <f t="shared" si="0"/>
        <v>8.8136788295434514E-4</v>
      </c>
      <c r="E34" s="97" t="s">
        <v>175</v>
      </c>
      <c r="F34" s="98">
        <v>210</v>
      </c>
      <c r="G34" s="100">
        <f t="shared" si="1"/>
        <v>1.112423535449389E-5</v>
      </c>
    </row>
    <row r="35" spans="1:7" x14ac:dyDescent="0.2">
      <c r="A35" s="5">
        <v>32</v>
      </c>
      <c r="B35" s="5" t="s">
        <v>183</v>
      </c>
      <c r="C35" s="5">
        <v>4</v>
      </c>
      <c r="D35" s="20">
        <f t="shared" si="0"/>
        <v>7.0509430636347611E-4</v>
      </c>
      <c r="E35" s="97" t="s">
        <v>196</v>
      </c>
      <c r="F35" s="98">
        <v>174</v>
      </c>
      <c r="G35" s="101">
        <f t="shared" si="1"/>
        <v>9.2172235794377938E-6</v>
      </c>
    </row>
    <row r="36" spans="1:7" x14ac:dyDescent="0.2">
      <c r="A36" s="5">
        <v>33</v>
      </c>
      <c r="B36" s="5" t="s">
        <v>184</v>
      </c>
      <c r="C36" s="5">
        <v>3</v>
      </c>
      <c r="D36" s="20">
        <f t="shared" si="0"/>
        <v>5.2882072977260709E-4</v>
      </c>
      <c r="E36" s="97" t="s">
        <v>189</v>
      </c>
      <c r="F36" s="98">
        <v>170</v>
      </c>
      <c r="G36" s="101">
        <f t="shared" si="1"/>
        <v>9.0053333822093384E-6</v>
      </c>
    </row>
    <row r="37" spans="1:7" x14ac:dyDescent="0.2">
      <c r="A37" s="5">
        <v>34</v>
      </c>
      <c r="B37" s="5" t="s">
        <v>185</v>
      </c>
      <c r="C37" s="5">
        <v>3</v>
      </c>
      <c r="D37" s="20">
        <f t="shared" si="0"/>
        <v>5.2882072977260709E-4</v>
      </c>
      <c r="E37" s="97" t="s">
        <v>203</v>
      </c>
      <c r="F37" s="98">
        <v>129</v>
      </c>
      <c r="G37" s="101">
        <f t="shared" si="1"/>
        <v>6.8334588606176744E-6</v>
      </c>
    </row>
    <row r="38" spans="1:7" x14ac:dyDescent="0.2">
      <c r="A38" s="5">
        <v>35</v>
      </c>
      <c r="B38" s="5" t="s">
        <v>186</v>
      </c>
      <c r="C38" s="5">
        <v>3</v>
      </c>
      <c r="D38" s="20">
        <f t="shared" si="0"/>
        <v>5.2882072977260709E-4</v>
      </c>
      <c r="E38" s="97" t="s">
        <v>179</v>
      </c>
      <c r="F38" s="98">
        <v>100</v>
      </c>
      <c r="G38" s="101">
        <f t="shared" si="1"/>
        <v>5.2972549307113754E-6</v>
      </c>
    </row>
    <row r="39" spans="1:7" x14ac:dyDescent="0.2">
      <c r="A39" s="5">
        <v>36</v>
      </c>
      <c r="B39" s="5" t="s">
        <v>187</v>
      </c>
      <c r="C39" s="5">
        <v>3</v>
      </c>
      <c r="D39" s="20">
        <f t="shared" si="0"/>
        <v>5.2882072977260709E-4</v>
      </c>
      <c r="E39" s="97" t="s">
        <v>192</v>
      </c>
      <c r="F39" s="98">
        <v>84</v>
      </c>
      <c r="G39" s="101">
        <f t="shared" si="1"/>
        <v>4.4496941417975558E-6</v>
      </c>
    </row>
    <row r="40" spans="1:7" x14ac:dyDescent="0.2">
      <c r="A40" s="5">
        <v>37</v>
      </c>
      <c r="B40" s="5" t="s">
        <v>188</v>
      </c>
      <c r="C40" s="5">
        <v>3</v>
      </c>
      <c r="D40" s="20">
        <f t="shared" si="0"/>
        <v>5.2882072977260709E-4</v>
      </c>
      <c r="E40" s="97" t="s">
        <v>191</v>
      </c>
      <c r="F40" s="98">
        <v>73</v>
      </c>
      <c r="G40" s="101">
        <f t="shared" si="1"/>
        <v>3.8669960994193041E-6</v>
      </c>
    </row>
    <row r="41" spans="1:7" x14ac:dyDescent="0.2">
      <c r="A41" s="5">
        <v>38</v>
      </c>
      <c r="B41" s="5" t="s">
        <v>189</v>
      </c>
      <c r="C41" s="5">
        <v>3</v>
      </c>
      <c r="D41" s="20">
        <f t="shared" si="0"/>
        <v>5.2882072977260709E-4</v>
      </c>
      <c r="E41" s="97" t="s">
        <v>177</v>
      </c>
      <c r="F41" s="98">
        <v>63</v>
      </c>
      <c r="G41" s="101">
        <f t="shared" si="1"/>
        <v>3.3372706063481666E-6</v>
      </c>
    </row>
    <row r="42" spans="1:7" x14ac:dyDescent="0.2">
      <c r="A42" s="5">
        <v>39</v>
      </c>
      <c r="B42" s="5" t="s">
        <v>190</v>
      </c>
      <c r="C42" s="5">
        <v>2</v>
      </c>
      <c r="D42" s="20">
        <f t="shared" si="0"/>
        <v>3.5254715318173806E-4</v>
      </c>
      <c r="E42" s="97" t="s">
        <v>202</v>
      </c>
      <c r="F42" s="98">
        <v>49</v>
      </c>
      <c r="G42" s="101">
        <f t="shared" si="1"/>
        <v>2.5956549160485743E-6</v>
      </c>
    </row>
    <row r="43" spans="1:7" x14ac:dyDescent="0.2">
      <c r="A43" s="5">
        <v>40</v>
      </c>
      <c r="B43" s="5" t="s">
        <v>191</v>
      </c>
      <c r="C43" s="5">
        <v>2</v>
      </c>
      <c r="D43" s="20">
        <f t="shared" si="0"/>
        <v>3.5254715318173806E-4</v>
      </c>
      <c r="E43" s="97" t="s">
        <v>190</v>
      </c>
      <c r="F43" s="98">
        <v>25</v>
      </c>
      <c r="G43" s="101">
        <f t="shared" si="1"/>
        <v>1.3243137326778438E-6</v>
      </c>
    </row>
    <row r="44" spans="1:7" x14ac:dyDescent="0.2">
      <c r="A44" s="5">
        <v>41</v>
      </c>
      <c r="B44" s="5" t="s">
        <v>192</v>
      </c>
      <c r="C44" s="5">
        <v>2</v>
      </c>
      <c r="D44" s="20">
        <f t="shared" si="0"/>
        <v>3.5254715318173806E-4</v>
      </c>
      <c r="E44" s="97" t="s">
        <v>188</v>
      </c>
      <c r="F44" s="98">
        <v>24</v>
      </c>
      <c r="G44" s="101">
        <f t="shared" si="1"/>
        <v>1.2713411833707302E-6</v>
      </c>
    </row>
    <row r="45" spans="1:7" x14ac:dyDescent="0.2">
      <c r="A45" s="5">
        <v>42</v>
      </c>
      <c r="B45" s="5" t="s">
        <v>193</v>
      </c>
      <c r="C45" s="5">
        <v>2</v>
      </c>
      <c r="D45" s="20">
        <f t="shared" si="0"/>
        <v>3.5254715318173806E-4</v>
      </c>
      <c r="E45" s="97" t="s">
        <v>195</v>
      </c>
      <c r="F45" s="98">
        <v>17</v>
      </c>
      <c r="G45" s="101">
        <f t="shared" si="1"/>
        <v>9.0053333822093384E-7</v>
      </c>
    </row>
    <row r="46" spans="1:7" x14ac:dyDescent="0.2">
      <c r="A46" s="5">
        <v>43</v>
      </c>
      <c r="B46" s="5" t="s">
        <v>194</v>
      </c>
      <c r="C46" s="5">
        <v>2</v>
      </c>
      <c r="D46" s="20">
        <f t="shared" si="0"/>
        <v>3.5254715318173806E-4</v>
      </c>
      <c r="E46" s="97" t="s">
        <v>200</v>
      </c>
      <c r="F46" s="98">
        <v>14</v>
      </c>
      <c r="G46" s="101">
        <f t="shared" si="1"/>
        <v>7.4161569029959256E-7</v>
      </c>
    </row>
    <row r="47" spans="1:7" x14ac:dyDescent="0.2">
      <c r="A47" s="5">
        <v>44</v>
      </c>
      <c r="B47" s="5" t="s">
        <v>195</v>
      </c>
      <c r="C47" s="5">
        <v>2</v>
      </c>
      <c r="D47" s="20">
        <f t="shared" si="0"/>
        <v>3.5254715318173806E-4</v>
      </c>
      <c r="E47" s="97" t="s">
        <v>205</v>
      </c>
      <c r="F47" s="98">
        <v>14</v>
      </c>
      <c r="G47" s="101">
        <f t="shared" si="1"/>
        <v>7.4161569029959256E-7</v>
      </c>
    </row>
    <row r="48" spans="1:7" x14ac:dyDescent="0.2">
      <c r="A48" s="5">
        <v>45</v>
      </c>
      <c r="B48" s="5" t="s">
        <v>196</v>
      </c>
      <c r="C48" s="5">
        <v>2</v>
      </c>
      <c r="D48" s="20">
        <f t="shared" si="0"/>
        <v>3.5254715318173806E-4</v>
      </c>
      <c r="E48" s="97" t="s">
        <v>187</v>
      </c>
      <c r="F48" s="98">
        <v>13</v>
      </c>
      <c r="G48" s="101">
        <f t="shared" si="1"/>
        <v>6.8864314099247884E-7</v>
      </c>
    </row>
    <row r="49" spans="1:7" x14ac:dyDescent="0.2">
      <c r="A49" s="5">
        <v>46</v>
      </c>
      <c r="B49" s="5" t="s">
        <v>197</v>
      </c>
      <c r="C49" s="5">
        <v>2</v>
      </c>
      <c r="D49" s="20">
        <f t="shared" si="0"/>
        <v>3.5254715318173806E-4</v>
      </c>
      <c r="E49" s="97" t="s">
        <v>199</v>
      </c>
      <c r="F49" s="98">
        <v>12</v>
      </c>
      <c r="G49" s="101">
        <f t="shared" si="1"/>
        <v>6.3567059168536512E-7</v>
      </c>
    </row>
    <row r="50" spans="1:7" x14ac:dyDescent="0.2">
      <c r="A50" s="5">
        <v>47</v>
      </c>
      <c r="B50" s="5" t="s">
        <v>198</v>
      </c>
      <c r="C50" s="5">
        <v>2</v>
      </c>
      <c r="D50" s="20">
        <f t="shared" si="0"/>
        <v>3.5254715318173806E-4</v>
      </c>
      <c r="E50" s="97" t="s">
        <v>194</v>
      </c>
      <c r="F50" s="98">
        <v>11</v>
      </c>
      <c r="G50" s="101">
        <f t="shared" si="1"/>
        <v>5.8269804237825129E-7</v>
      </c>
    </row>
    <row r="51" spans="1:7" x14ac:dyDescent="0.2">
      <c r="A51" s="5">
        <v>48</v>
      </c>
      <c r="B51" s="5" t="s">
        <v>199</v>
      </c>
      <c r="C51" s="5">
        <v>1</v>
      </c>
      <c r="D51" s="20">
        <f t="shared" si="0"/>
        <v>1.7627357659086903E-4</v>
      </c>
      <c r="E51" s="97" t="s">
        <v>207</v>
      </c>
      <c r="F51" s="98">
        <v>11</v>
      </c>
      <c r="G51" s="101">
        <f t="shared" si="1"/>
        <v>5.8269804237825129E-7</v>
      </c>
    </row>
    <row r="52" spans="1:7" x14ac:dyDescent="0.2">
      <c r="A52" s="5">
        <v>49</v>
      </c>
      <c r="B52" s="5" t="s">
        <v>200</v>
      </c>
      <c r="C52" s="5">
        <v>1</v>
      </c>
      <c r="D52" s="20">
        <f t="shared" si="0"/>
        <v>1.7627357659086903E-4</v>
      </c>
      <c r="E52" s="97" t="s">
        <v>197</v>
      </c>
      <c r="F52" s="98">
        <v>10</v>
      </c>
      <c r="G52" s="101">
        <f t="shared" si="1"/>
        <v>5.2972549307113756E-7</v>
      </c>
    </row>
    <row r="53" spans="1:7" x14ac:dyDescent="0.2">
      <c r="A53" s="5">
        <v>50</v>
      </c>
      <c r="B53" s="5" t="s">
        <v>201</v>
      </c>
      <c r="C53" s="5">
        <v>1</v>
      </c>
      <c r="D53" s="20">
        <f t="shared" si="0"/>
        <v>1.7627357659086903E-4</v>
      </c>
      <c r="E53" s="97" t="s">
        <v>183</v>
      </c>
      <c r="F53" s="98">
        <v>9</v>
      </c>
      <c r="G53" s="102">
        <f t="shared" si="1"/>
        <v>4.7675294376402384E-7</v>
      </c>
    </row>
    <row r="54" spans="1:7" x14ac:dyDescent="0.2">
      <c r="A54" s="5">
        <v>51</v>
      </c>
      <c r="B54" s="5" t="s">
        <v>202</v>
      </c>
      <c r="C54" s="5">
        <v>1</v>
      </c>
      <c r="D54" s="20">
        <f t="shared" si="0"/>
        <v>1.7627357659086903E-4</v>
      </c>
      <c r="E54" s="97" t="s">
        <v>186</v>
      </c>
      <c r="F54" s="98">
        <v>7</v>
      </c>
      <c r="G54" s="102">
        <f t="shared" si="1"/>
        <v>3.7080784514979628E-7</v>
      </c>
    </row>
    <row r="55" spans="1:7" x14ac:dyDescent="0.2">
      <c r="A55" s="5">
        <v>52</v>
      </c>
      <c r="B55" s="5" t="s">
        <v>203</v>
      </c>
      <c r="C55" s="5">
        <v>1</v>
      </c>
      <c r="D55" s="20">
        <f t="shared" si="0"/>
        <v>1.7627357659086903E-4</v>
      </c>
      <c r="E55" s="97" t="s">
        <v>184</v>
      </c>
      <c r="F55" s="98">
        <v>6</v>
      </c>
      <c r="G55" s="102">
        <f t="shared" si="1"/>
        <v>3.1783529584268256E-7</v>
      </c>
    </row>
    <row r="56" spans="1:7" x14ac:dyDescent="0.2">
      <c r="A56" s="5">
        <v>53</v>
      </c>
      <c r="B56" s="5" t="s">
        <v>204</v>
      </c>
      <c r="C56" s="5">
        <v>1</v>
      </c>
      <c r="D56" s="20">
        <f t="shared" si="0"/>
        <v>1.7627357659086903E-4</v>
      </c>
      <c r="E56" s="97" t="s">
        <v>204</v>
      </c>
      <c r="F56" s="98">
        <v>6</v>
      </c>
      <c r="G56" s="102">
        <f t="shared" si="1"/>
        <v>3.1783529584268256E-7</v>
      </c>
    </row>
    <row r="57" spans="1:7" x14ac:dyDescent="0.2">
      <c r="A57" s="5">
        <v>54</v>
      </c>
      <c r="B57" s="5" t="s">
        <v>205</v>
      </c>
      <c r="C57" s="5">
        <v>1</v>
      </c>
      <c r="D57" s="20">
        <f t="shared" si="0"/>
        <v>1.7627357659086903E-4</v>
      </c>
      <c r="E57" s="97" t="s">
        <v>193</v>
      </c>
      <c r="F57" s="98">
        <v>5</v>
      </c>
      <c r="G57" s="102">
        <f t="shared" si="1"/>
        <v>2.6486274653556878E-7</v>
      </c>
    </row>
    <row r="58" spans="1:7" x14ac:dyDescent="0.2">
      <c r="A58" s="5">
        <v>55</v>
      </c>
      <c r="B58" s="5" t="s">
        <v>206</v>
      </c>
      <c r="C58" s="5">
        <v>1</v>
      </c>
      <c r="D58" s="20">
        <f t="shared" si="0"/>
        <v>1.7627357659086903E-4</v>
      </c>
      <c r="E58" s="97" t="s">
        <v>208</v>
      </c>
      <c r="F58" s="98">
        <v>4</v>
      </c>
      <c r="G58" s="102">
        <f t="shared" si="1"/>
        <v>2.1189019722845503E-7</v>
      </c>
    </row>
    <row r="59" spans="1:7" x14ac:dyDescent="0.2">
      <c r="A59" s="5">
        <v>56</v>
      </c>
      <c r="B59" s="5" t="s">
        <v>207</v>
      </c>
      <c r="C59" s="5">
        <v>1</v>
      </c>
      <c r="D59" s="20">
        <f t="shared" si="0"/>
        <v>1.7627357659086903E-4</v>
      </c>
      <c r="E59" s="97" t="s">
        <v>201</v>
      </c>
      <c r="F59" s="98">
        <v>2</v>
      </c>
      <c r="G59" s="102">
        <f t="shared" si="1"/>
        <v>1.0594509861422751E-7</v>
      </c>
    </row>
    <row r="60" spans="1:7" x14ac:dyDescent="0.2">
      <c r="A60" s="5">
        <v>57</v>
      </c>
      <c r="B60" s="5" t="s">
        <v>208</v>
      </c>
      <c r="C60" s="5">
        <v>1</v>
      </c>
      <c r="D60" s="20">
        <f t="shared" si="0"/>
        <v>1.7627357659086903E-4</v>
      </c>
      <c r="E60" s="97" t="s">
        <v>206</v>
      </c>
      <c r="F60" s="98">
        <v>2</v>
      </c>
      <c r="G60" s="102">
        <f t="shared" si="1"/>
        <v>1.0594509861422751E-7</v>
      </c>
    </row>
    <row r="61" spans="1:7" x14ac:dyDescent="0.2">
      <c r="A61" s="5"/>
      <c r="B61" s="5" t="s">
        <v>305</v>
      </c>
      <c r="C61" s="5">
        <f>SUM(C4:C60)</f>
        <v>5673</v>
      </c>
      <c r="D61" s="5"/>
      <c r="E61" s="97" t="s">
        <v>305</v>
      </c>
      <c r="F61" s="98">
        <f>SUM(F4:F60)</f>
        <v>18877702</v>
      </c>
      <c r="G61" s="97"/>
    </row>
    <row r="62" spans="1:7" x14ac:dyDescent="0.2">
      <c r="A62" s="5"/>
      <c r="B62" s="5" t="s">
        <v>304</v>
      </c>
      <c r="C62" s="5">
        <v>6496</v>
      </c>
      <c r="D62" s="20"/>
      <c r="E62" s="97" t="s">
        <v>304</v>
      </c>
      <c r="F62" s="98">
        <v>9757007</v>
      </c>
      <c r="G62" s="99"/>
    </row>
    <row r="63" spans="1:7" x14ac:dyDescent="0.2">
      <c r="A63" s="5"/>
      <c r="B63" s="5" t="s">
        <v>325</v>
      </c>
      <c r="C63" s="20">
        <f>C61/C64</f>
        <v>0.46618456734324926</v>
      </c>
      <c r="D63" s="20"/>
      <c r="E63" s="97" t="s">
        <v>325</v>
      </c>
      <c r="F63" s="99">
        <f>F61/F64</f>
        <v>0.65925943232040529</v>
      </c>
      <c r="G63" s="99"/>
    </row>
    <row r="64" spans="1:7" x14ac:dyDescent="0.2">
      <c r="A64" s="5"/>
      <c r="B64" s="5" t="s">
        <v>214</v>
      </c>
      <c r="C64" s="5">
        <f>C62+C61</f>
        <v>12169</v>
      </c>
      <c r="D64" s="5"/>
      <c r="E64" s="97" t="s">
        <v>306</v>
      </c>
      <c r="F64" s="98">
        <f>F62+F61</f>
        <v>28634709</v>
      </c>
      <c r="G64" s="97"/>
    </row>
  </sheetData>
  <mergeCells count="3">
    <mergeCell ref="A1:N1"/>
    <mergeCell ref="B2:D2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42EC-E7F2-A54B-AC75-C1E80EE38091}">
  <dimension ref="A1:O43"/>
  <sheetViews>
    <sheetView workbookViewId="0">
      <selection activeCell="J24" sqref="J24"/>
    </sheetView>
  </sheetViews>
  <sheetFormatPr baseColWidth="10" defaultRowHeight="16" x14ac:dyDescent="0.2"/>
  <cols>
    <col min="1" max="5" width="21.5" customWidth="1"/>
  </cols>
  <sheetData>
    <row r="1" spans="1:15" ht="72" customHeight="1" x14ac:dyDescent="0.2">
      <c r="A1" s="111" t="s">
        <v>288</v>
      </c>
      <c r="B1" s="111"/>
      <c r="C1" s="111"/>
      <c r="D1" s="111"/>
      <c r="E1" s="111"/>
      <c r="F1" s="111"/>
      <c r="G1" s="111"/>
      <c r="H1" s="111"/>
      <c r="I1" s="19"/>
      <c r="J1" s="19"/>
      <c r="K1" s="19"/>
      <c r="L1" s="19"/>
      <c r="M1" s="19"/>
      <c r="N1" s="19"/>
      <c r="O1" s="19"/>
    </row>
    <row r="2" spans="1:15" x14ac:dyDescent="0.2">
      <c r="A2" s="25" t="s">
        <v>122</v>
      </c>
      <c r="B2" s="21" t="s">
        <v>151</v>
      </c>
      <c r="C2" s="22" t="s">
        <v>249</v>
      </c>
      <c r="D2" s="22" t="s">
        <v>136</v>
      </c>
      <c r="E2" s="22" t="s">
        <v>218</v>
      </c>
    </row>
    <row r="3" spans="1:15" x14ac:dyDescent="0.2">
      <c r="A3" s="26" t="s">
        <v>117</v>
      </c>
      <c r="B3" s="27">
        <v>9.7130160000000002E-32</v>
      </c>
      <c r="C3" s="85">
        <v>0.79699909999999996</v>
      </c>
      <c r="D3" s="27">
        <v>0.13225475</v>
      </c>
      <c r="E3" s="23">
        <v>6.7991109999999998E-31</v>
      </c>
      <c r="H3" s="29"/>
      <c r="K3" s="29"/>
    </row>
    <row r="4" spans="1:15" x14ac:dyDescent="0.2">
      <c r="A4" s="26" t="s">
        <v>116</v>
      </c>
      <c r="B4" s="27">
        <v>7.2909359999999998E-30</v>
      </c>
      <c r="C4" s="85">
        <v>0.77562149999999996</v>
      </c>
      <c r="D4" s="27">
        <v>6.2779890000000005E-2</v>
      </c>
      <c r="E4" s="23">
        <v>2.5518269999999998E-29</v>
      </c>
      <c r="H4" s="29"/>
      <c r="K4" s="29"/>
    </row>
    <row r="5" spans="1:15" x14ac:dyDescent="0.2">
      <c r="A5" s="26" t="s">
        <v>115</v>
      </c>
      <c r="B5" s="27">
        <v>2.024223E-14</v>
      </c>
      <c r="C5" s="85">
        <v>0.48957390000000001</v>
      </c>
      <c r="D5" s="27">
        <v>7.4286249999999998E-2</v>
      </c>
      <c r="E5" s="23">
        <v>2.024223E-14</v>
      </c>
      <c r="H5" s="29"/>
      <c r="K5" s="29"/>
    </row>
    <row r="6" spans="1:15" x14ac:dyDescent="0.2">
      <c r="A6" s="26" t="s">
        <v>114</v>
      </c>
      <c r="B6" s="27">
        <v>3.1435839999999999E-23</v>
      </c>
      <c r="C6" s="85">
        <v>0.68037270000000005</v>
      </c>
      <c r="D6" s="27">
        <v>6.9234550000000006E-2</v>
      </c>
      <c r="E6" s="23">
        <v>5.5012730000000003E-23</v>
      </c>
      <c r="H6" s="29"/>
      <c r="K6" s="29"/>
    </row>
    <row r="7" spans="1:15" x14ac:dyDescent="0.2">
      <c r="A7" s="26" t="s">
        <v>113</v>
      </c>
      <c r="B7" s="27">
        <v>7.2262110000000003E-28</v>
      </c>
      <c r="C7" s="85">
        <v>0.75040079999999998</v>
      </c>
      <c r="D7" s="27">
        <v>4.5487590000000001E-2</v>
      </c>
      <c r="E7" s="23">
        <v>1.6861160000000002E-27</v>
      </c>
      <c r="H7" s="29"/>
      <c r="K7" s="29"/>
    </row>
    <row r="8" spans="1:15" x14ac:dyDescent="0.2">
      <c r="A8" s="26" t="s">
        <v>112</v>
      </c>
      <c r="B8" s="27">
        <v>2.8654219999999999E-19</v>
      </c>
      <c r="C8" s="85">
        <v>0.60538650000000005</v>
      </c>
      <c r="D8" s="27">
        <v>3.7605609999999998E-2</v>
      </c>
      <c r="E8" s="23">
        <v>4.0115900000000002E-19</v>
      </c>
      <c r="H8" s="29"/>
      <c r="K8" s="29"/>
    </row>
    <row r="9" spans="1:15" x14ac:dyDescent="0.2">
      <c r="A9" s="26" t="s">
        <v>111</v>
      </c>
      <c r="B9" s="27">
        <v>2.1829619999999999E-17</v>
      </c>
      <c r="C9" s="85">
        <v>0.56388850000000001</v>
      </c>
      <c r="D9" s="27">
        <v>3.377848E-2</v>
      </c>
      <c r="E9" s="23">
        <v>2.5467889999999999E-17</v>
      </c>
      <c r="H9" s="29"/>
      <c r="K9" s="29"/>
    </row>
    <row r="13" spans="1:15" ht="71" customHeight="1" x14ac:dyDescent="0.2">
      <c r="A13" s="111" t="s">
        <v>289</v>
      </c>
      <c r="B13" s="111"/>
      <c r="C13" s="111"/>
      <c r="D13" s="111"/>
      <c r="E13" s="111"/>
      <c r="F13" s="111"/>
      <c r="G13" s="111"/>
      <c r="H13" s="111"/>
      <c r="I13" s="19"/>
      <c r="J13" s="19"/>
      <c r="K13" s="19"/>
      <c r="L13" s="19"/>
      <c r="M13" s="19"/>
      <c r="N13" s="19"/>
      <c r="O13" s="19"/>
    </row>
    <row r="14" spans="1:15" x14ac:dyDescent="0.2">
      <c r="A14" s="25" t="s">
        <v>219</v>
      </c>
      <c r="B14" s="21" t="s">
        <v>151</v>
      </c>
      <c r="C14" s="22" t="s">
        <v>249</v>
      </c>
      <c r="D14" s="22" t="s">
        <v>136</v>
      </c>
      <c r="E14" s="22" t="s">
        <v>218</v>
      </c>
      <c r="I14" s="29"/>
      <c r="K14" s="29"/>
      <c r="L14" s="29"/>
    </row>
    <row r="15" spans="1:15" x14ac:dyDescent="0.2">
      <c r="A15" s="26" t="s">
        <v>117</v>
      </c>
      <c r="B15" s="27">
        <v>0.86205500000000002</v>
      </c>
      <c r="C15" s="85">
        <v>-1.1270746E-2</v>
      </c>
      <c r="D15" s="27">
        <v>-2.530724E-6</v>
      </c>
      <c r="E15" s="27">
        <v>0.98038440000000004</v>
      </c>
      <c r="I15" s="29"/>
      <c r="K15" s="29"/>
      <c r="L15" s="29"/>
    </row>
    <row r="16" spans="1:15" x14ac:dyDescent="0.2">
      <c r="A16" s="26" t="s">
        <v>116</v>
      </c>
      <c r="B16" s="27">
        <v>4.5476910000000002E-19</v>
      </c>
      <c r="C16" s="85">
        <v>0.60115547300000005</v>
      </c>
      <c r="D16" s="27">
        <v>-1.248729E-4</v>
      </c>
      <c r="E16" s="23">
        <v>3.1833840000000001E-18</v>
      </c>
      <c r="I16" s="29"/>
      <c r="K16" s="29"/>
      <c r="L16" s="29"/>
    </row>
    <row r="17" spans="1:12" x14ac:dyDescent="0.2">
      <c r="A17" s="26" t="s">
        <v>115</v>
      </c>
      <c r="B17" s="27">
        <v>1.087603E-4</v>
      </c>
      <c r="C17" s="85">
        <v>0.15092255399999999</v>
      </c>
      <c r="D17" s="27">
        <v>5.5355749999999999E-5</v>
      </c>
      <c r="E17" s="23">
        <v>2.5377409999999999E-4</v>
      </c>
      <c r="I17" s="29"/>
      <c r="K17" s="29"/>
      <c r="L17" s="29"/>
    </row>
    <row r="18" spans="1:12" x14ac:dyDescent="0.2">
      <c r="A18" s="26" t="s">
        <v>114</v>
      </c>
      <c r="B18" s="27">
        <v>5.6200360000000002E-5</v>
      </c>
      <c r="C18" s="85">
        <v>0.16322731400000001</v>
      </c>
      <c r="D18" s="27">
        <v>5.426292E-5</v>
      </c>
      <c r="E18" s="23">
        <v>1.9670129999999999E-4</v>
      </c>
      <c r="I18" s="29"/>
      <c r="K18" s="29"/>
      <c r="L18" s="29"/>
    </row>
    <row r="19" spans="1:12" x14ac:dyDescent="0.2">
      <c r="A19" s="26" t="s">
        <v>113</v>
      </c>
      <c r="B19" s="27">
        <v>8.7124030000000005E-2</v>
      </c>
      <c r="C19" s="85">
        <v>2.2413725999999998E-2</v>
      </c>
      <c r="D19" s="27">
        <v>-1.243076E-5</v>
      </c>
      <c r="E19" s="27">
        <v>0.15246709999999999</v>
      </c>
      <c r="I19" s="29"/>
      <c r="K19" s="29"/>
      <c r="L19" s="29"/>
    </row>
    <row r="20" spans="1:12" x14ac:dyDescent="0.2">
      <c r="A20" s="26" t="s">
        <v>112</v>
      </c>
      <c r="B20" s="27">
        <v>0.98038440000000004</v>
      </c>
      <c r="C20" s="85">
        <v>-1.1620754E-2</v>
      </c>
      <c r="D20" s="27">
        <v>2.1378660000000001E-7</v>
      </c>
      <c r="E20" s="27">
        <v>0.98038440000000004</v>
      </c>
      <c r="I20" s="29"/>
      <c r="K20" s="29"/>
      <c r="L20" s="29"/>
    </row>
    <row r="21" spans="1:12" x14ac:dyDescent="0.2">
      <c r="A21" s="26" t="s">
        <v>111</v>
      </c>
      <c r="B21" s="27">
        <v>0.2587139</v>
      </c>
      <c r="C21" s="85">
        <v>3.3527829999999998E-3</v>
      </c>
      <c r="D21" s="27">
        <v>-9.2550229999999999E-6</v>
      </c>
      <c r="E21" s="27">
        <v>0.3621994</v>
      </c>
    </row>
    <row r="25" spans="1:12" ht="71" customHeight="1" x14ac:dyDescent="0.2">
      <c r="A25" s="111" t="s">
        <v>290</v>
      </c>
      <c r="B25" s="111"/>
      <c r="C25" s="111"/>
      <c r="D25" s="111"/>
      <c r="E25" s="111"/>
      <c r="F25" s="111"/>
      <c r="G25" s="111"/>
      <c r="H25" s="111"/>
    </row>
    <row r="26" spans="1:12" x14ac:dyDescent="0.2">
      <c r="A26" s="25" t="s">
        <v>248</v>
      </c>
      <c r="B26" s="21" t="s">
        <v>151</v>
      </c>
      <c r="C26" s="22" t="s">
        <v>249</v>
      </c>
      <c r="D26" s="22" t="s">
        <v>136</v>
      </c>
      <c r="E26" s="22" t="s">
        <v>218</v>
      </c>
    </row>
    <row r="27" spans="1:12" x14ac:dyDescent="0.2">
      <c r="A27" s="26" t="s">
        <v>117</v>
      </c>
      <c r="B27" s="27">
        <v>1.030282E-4</v>
      </c>
      <c r="C27" s="85">
        <v>0.15193654300000001</v>
      </c>
      <c r="D27" s="27">
        <v>9.6301139999999995E-5</v>
      </c>
      <c r="E27" s="23">
        <v>3.6059859999999999E-4</v>
      </c>
    </row>
    <row r="28" spans="1:12" x14ac:dyDescent="0.2">
      <c r="A28" s="26" t="s">
        <v>116</v>
      </c>
      <c r="B28" s="27">
        <v>1.4018650000000001E-2</v>
      </c>
      <c r="C28" s="85">
        <v>5.7321153999999999E-2</v>
      </c>
      <c r="D28" s="27">
        <v>-7.879858E-5</v>
      </c>
      <c r="E28" s="23">
        <v>2.4532631100000001E-2</v>
      </c>
      <c r="J28" s="29"/>
      <c r="L28" s="29"/>
    </row>
    <row r="29" spans="1:12" x14ac:dyDescent="0.2">
      <c r="A29" s="26" t="s">
        <v>115</v>
      </c>
      <c r="B29" s="27">
        <v>1.0386659999999999E-3</v>
      </c>
      <c r="C29" s="85">
        <v>0.10796165100000001</v>
      </c>
      <c r="D29" s="27">
        <v>3.376579E-6</v>
      </c>
      <c r="E29" s="23">
        <v>2.4235532999999998E-3</v>
      </c>
      <c r="J29" s="29"/>
      <c r="L29" s="29"/>
    </row>
    <row r="30" spans="1:12" x14ac:dyDescent="0.2">
      <c r="A30" s="26" t="s">
        <v>114</v>
      </c>
      <c r="B30" s="27">
        <v>5.1743370000000001E-5</v>
      </c>
      <c r="C30" s="85">
        <v>0.16475796000000001</v>
      </c>
      <c r="D30" s="27">
        <v>1.411247E-5</v>
      </c>
      <c r="E30" s="23">
        <v>3.6059859999999999E-4</v>
      </c>
      <c r="J30" s="29"/>
      <c r="L30" s="29"/>
    </row>
    <row r="31" spans="1:12" x14ac:dyDescent="0.2">
      <c r="A31" s="26" t="s">
        <v>113</v>
      </c>
      <c r="B31" s="27">
        <v>0.65690839999999995</v>
      </c>
      <c r="C31" s="85">
        <v>-9.2961959999999996E-3</v>
      </c>
      <c r="D31" s="27">
        <v>-2.8927560000000001E-6</v>
      </c>
      <c r="E31" s="27">
        <v>0.6569084328</v>
      </c>
      <c r="J31" s="29"/>
      <c r="L31" s="29"/>
    </row>
    <row r="32" spans="1:12" x14ac:dyDescent="0.2">
      <c r="A32" s="26" t="s">
        <v>112</v>
      </c>
      <c r="B32" s="27">
        <v>0.21619450000000001</v>
      </c>
      <c r="C32" s="85">
        <v>6.3070849999999996E-3</v>
      </c>
      <c r="D32" s="27">
        <v>-2.1506840000000002E-5</v>
      </c>
      <c r="E32" s="27">
        <v>0.30267231319999999</v>
      </c>
      <c r="J32" s="29"/>
      <c r="L32" s="29"/>
    </row>
    <row r="33" spans="1:12" x14ac:dyDescent="0.2">
      <c r="A33" s="26" t="s">
        <v>111</v>
      </c>
      <c r="B33" s="27">
        <v>0.27140140000000001</v>
      </c>
      <c r="C33" s="85">
        <v>2.5834539999999998E-3</v>
      </c>
      <c r="D33" s="27">
        <v>7.256564E-6</v>
      </c>
      <c r="E33" s="27">
        <v>0.3166349249</v>
      </c>
      <c r="J33" s="29"/>
      <c r="L33" s="29"/>
    </row>
    <row r="34" spans="1:12" x14ac:dyDescent="0.2">
      <c r="A34" s="58"/>
      <c r="B34" s="29"/>
      <c r="C34" s="4"/>
      <c r="D34" s="29"/>
      <c r="E34" s="29"/>
      <c r="J34" s="29"/>
      <c r="L34" s="29"/>
    </row>
    <row r="35" spans="1:12" x14ac:dyDescent="0.2">
      <c r="A35" s="58"/>
      <c r="B35" s="29"/>
      <c r="C35" s="4"/>
      <c r="D35" s="29"/>
      <c r="E35" s="29"/>
    </row>
    <row r="37" spans="1:12" x14ac:dyDescent="0.2">
      <c r="A37" s="111" t="s">
        <v>324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</row>
    <row r="38" spans="1:12" x14ac:dyDescent="0.2">
      <c r="A38" s="25" t="s">
        <v>221</v>
      </c>
      <c r="B38" s="25" t="s">
        <v>222</v>
      </c>
      <c r="C38" s="25" t="s">
        <v>223</v>
      </c>
      <c r="D38" s="25" t="s">
        <v>224</v>
      </c>
      <c r="E38" s="25" t="s">
        <v>225</v>
      </c>
    </row>
    <row r="39" spans="1:12" x14ac:dyDescent="0.2">
      <c r="A39" s="26" t="s">
        <v>226</v>
      </c>
      <c r="B39" s="28">
        <v>0.59331900000000004</v>
      </c>
      <c r="C39" s="28">
        <v>1.8325999999999999E-2</v>
      </c>
      <c r="D39" s="28">
        <v>32.380000000000003</v>
      </c>
      <c r="E39" s="24" t="s">
        <v>227</v>
      </c>
    </row>
    <row r="40" spans="1:12" x14ac:dyDescent="0.2">
      <c r="A40" s="26" t="s">
        <v>228</v>
      </c>
      <c r="B40" s="28">
        <v>4.1237000000000003E-2</v>
      </c>
      <c r="C40" s="28">
        <v>2.7810000000000001E-3</v>
      </c>
      <c r="D40" s="28">
        <v>14.83</v>
      </c>
      <c r="E40" s="24" t="s">
        <v>227</v>
      </c>
    </row>
    <row r="41" spans="1:12" x14ac:dyDescent="0.2">
      <c r="A41" t="s">
        <v>229</v>
      </c>
    </row>
    <row r="42" spans="1:12" x14ac:dyDescent="0.2">
      <c r="A42" t="s">
        <v>230</v>
      </c>
      <c r="B42" t="s">
        <v>231</v>
      </c>
    </row>
    <row r="43" spans="1:12" x14ac:dyDescent="0.2">
      <c r="A43" t="s">
        <v>232</v>
      </c>
    </row>
  </sheetData>
  <mergeCells count="4">
    <mergeCell ref="A37:K37"/>
    <mergeCell ref="A25:H25"/>
    <mergeCell ref="A13:H13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2D0B-C1DF-CB44-B606-9DB938C2F095}">
  <dimension ref="A1:G25"/>
  <sheetViews>
    <sheetView workbookViewId="0">
      <selection activeCell="K27" sqref="K27"/>
    </sheetView>
  </sheetViews>
  <sheetFormatPr baseColWidth="10" defaultRowHeight="16" x14ac:dyDescent="0.2"/>
  <cols>
    <col min="1" max="6" width="24.1640625" customWidth="1"/>
  </cols>
  <sheetData>
    <row r="1" spans="1:7" ht="70" customHeight="1" x14ac:dyDescent="0.2">
      <c r="A1" s="117" t="s">
        <v>291</v>
      </c>
      <c r="B1" s="117"/>
      <c r="C1" s="117"/>
      <c r="D1" s="117"/>
      <c r="E1" s="117"/>
      <c r="F1" s="117"/>
      <c r="G1" s="117"/>
    </row>
    <row r="2" spans="1:7" x14ac:dyDescent="0.2">
      <c r="A2" s="32"/>
      <c r="B2" s="31"/>
      <c r="C2" s="31"/>
      <c r="D2" s="31"/>
      <c r="E2" s="31"/>
      <c r="F2" s="31"/>
    </row>
    <row r="3" spans="1:7" ht="17" x14ac:dyDescent="0.2">
      <c r="A3" s="36" t="s">
        <v>243</v>
      </c>
      <c r="B3" s="36" t="s">
        <v>233</v>
      </c>
      <c r="C3" s="37" t="s">
        <v>234</v>
      </c>
      <c r="D3" s="37" t="s">
        <v>235</v>
      </c>
      <c r="E3" s="37" t="s">
        <v>220</v>
      </c>
      <c r="F3" s="38" t="s">
        <v>236</v>
      </c>
      <c r="G3" s="37" t="s">
        <v>242</v>
      </c>
    </row>
    <row r="4" spans="1:7" ht="17" x14ac:dyDescent="0.2">
      <c r="A4" s="42"/>
      <c r="B4" s="50" t="s">
        <v>129</v>
      </c>
      <c r="C4" s="51">
        <v>3</v>
      </c>
      <c r="D4" s="52">
        <v>6.7205000000000004</v>
      </c>
      <c r="E4" s="52">
        <v>0.26040999999999997</v>
      </c>
      <c r="F4" s="51">
        <v>9.8585999999999991</v>
      </c>
      <c r="G4" s="53">
        <v>1E-3</v>
      </c>
    </row>
    <row r="5" spans="1:7" ht="17" x14ac:dyDescent="0.2">
      <c r="A5" s="33"/>
      <c r="B5" s="30" t="s">
        <v>237</v>
      </c>
      <c r="C5" s="34">
        <v>84</v>
      </c>
      <c r="D5" s="35">
        <v>19.087399999999999</v>
      </c>
      <c r="E5" s="35">
        <v>0.73958999999999997</v>
      </c>
      <c r="F5" s="34"/>
      <c r="G5" s="34"/>
    </row>
    <row r="6" spans="1:7" ht="17" x14ac:dyDescent="0.2">
      <c r="A6" s="33"/>
      <c r="B6" s="30" t="s">
        <v>214</v>
      </c>
      <c r="C6" s="34">
        <v>87</v>
      </c>
      <c r="D6" s="35">
        <v>25.8079</v>
      </c>
      <c r="E6" s="35">
        <v>1</v>
      </c>
      <c r="F6" s="34"/>
      <c r="G6" s="34"/>
    </row>
    <row r="7" spans="1:7" ht="17" x14ac:dyDescent="0.2">
      <c r="A7" s="36" t="s">
        <v>247</v>
      </c>
      <c r="B7" s="36" t="s">
        <v>233</v>
      </c>
      <c r="C7" s="37" t="s">
        <v>234</v>
      </c>
      <c r="D7" s="37" t="s">
        <v>235</v>
      </c>
      <c r="E7" s="37" t="s">
        <v>220</v>
      </c>
      <c r="F7" s="38" t="s">
        <v>236</v>
      </c>
      <c r="G7" s="37" t="s">
        <v>242</v>
      </c>
    </row>
    <row r="8" spans="1:7" x14ac:dyDescent="0.2">
      <c r="A8" s="54" t="s">
        <v>240</v>
      </c>
      <c r="B8" s="39" t="s">
        <v>129</v>
      </c>
      <c r="C8" s="39">
        <v>1</v>
      </c>
      <c r="D8" s="40">
        <v>3.6861999999999999E-2</v>
      </c>
      <c r="E8" s="40">
        <v>0.38667000000000001</v>
      </c>
      <c r="F8" s="39">
        <v>27.109000000000002</v>
      </c>
      <c r="G8" s="41">
        <v>1E-3</v>
      </c>
    </row>
    <row r="9" spans="1:7" x14ac:dyDescent="0.2">
      <c r="A9" s="55"/>
      <c r="B9" s="45" t="s">
        <v>237</v>
      </c>
      <c r="C9" s="45">
        <v>43</v>
      </c>
      <c r="D9" s="46">
        <v>5.8470000000000001E-2</v>
      </c>
      <c r="E9" s="46">
        <v>0.61333000000000004</v>
      </c>
      <c r="F9" s="45"/>
      <c r="G9" s="47"/>
    </row>
    <row r="10" spans="1:7" x14ac:dyDescent="0.2">
      <c r="A10" s="54"/>
      <c r="B10" s="39" t="s">
        <v>214</v>
      </c>
      <c r="C10" s="39">
        <v>44</v>
      </c>
      <c r="D10" s="40">
        <v>9.5332E-2</v>
      </c>
      <c r="E10" s="40">
        <v>1</v>
      </c>
      <c r="F10" s="39"/>
      <c r="G10" s="41"/>
    </row>
    <row r="11" spans="1:7" x14ac:dyDescent="0.2">
      <c r="A11" s="56" t="s">
        <v>239</v>
      </c>
      <c r="B11" s="42" t="s">
        <v>129</v>
      </c>
      <c r="C11" s="42">
        <v>1</v>
      </c>
      <c r="D11" s="43">
        <v>2.9950000000000001E-2</v>
      </c>
      <c r="E11" s="43">
        <v>0.28498000000000001</v>
      </c>
      <c r="F11" s="42">
        <v>22.318999999999999</v>
      </c>
      <c r="G11" s="44">
        <v>1E-3</v>
      </c>
    </row>
    <row r="12" spans="1:7" x14ac:dyDescent="0.2">
      <c r="A12" s="57"/>
      <c r="B12" s="33" t="s">
        <v>237</v>
      </c>
      <c r="C12" s="33">
        <v>56</v>
      </c>
      <c r="D12" s="48">
        <v>7.5146000000000004E-2</v>
      </c>
      <c r="E12" s="48">
        <v>0.71501999999999999</v>
      </c>
      <c r="F12" s="33"/>
      <c r="G12" s="49"/>
    </row>
    <row r="13" spans="1:7" x14ac:dyDescent="0.2">
      <c r="A13" s="56"/>
      <c r="B13" s="42" t="s">
        <v>214</v>
      </c>
      <c r="C13" s="42">
        <v>57</v>
      </c>
      <c r="D13" s="43">
        <v>0.10509599999999999</v>
      </c>
      <c r="E13" s="43">
        <v>1</v>
      </c>
      <c r="F13" s="42"/>
      <c r="G13" s="44"/>
    </row>
    <row r="14" spans="1:7" x14ac:dyDescent="0.2">
      <c r="A14" s="54" t="s">
        <v>241</v>
      </c>
      <c r="B14" s="39" t="s">
        <v>129</v>
      </c>
      <c r="C14" s="39">
        <v>1</v>
      </c>
      <c r="D14" s="40">
        <v>6.5686999999999995E-2</v>
      </c>
      <c r="E14" s="40">
        <v>0.45490000000000003</v>
      </c>
      <c r="F14" s="39">
        <v>37.554000000000002</v>
      </c>
      <c r="G14" s="41">
        <v>1E-3</v>
      </c>
    </row>
    <row r="15" spans="1:7" x14ac:dyDescent="0.2">
      <c r="A15" s="55"/>
      <c r="B15" s="45" t="s">
        <v>237</v>
      </c>
      <c r="C15" s="45">
        <v>45</v>
      </c>
      <c r="D15" s="46">
        <v>7.8712000000000004E-2</v>
      </c>
      <c r="E15" s="46">
        <v>0.54510000000000003</v>
      </c>
      <c r="F15" s="45"/>
      <c r="G15" s="47"/>
    </row>
    <row r="16" spans="1:7" x14ac:dyDescent="0.2">
      <c r="A16" s="54"/>
      <c r="B16" s="39" t="s">
        <v>214</v>
      </c>
      <c r="C16" s="39">
        <v>46</v>
      </c>
      <c r="D16" s="40">
        <v>0.144399</v>
      </c>
      <c r="E16" s="40">
        <v>1</v>
      </c>
      <c r="F16" s="39"/>
      <c r="G16" s="41"/>
    </row>
    <row r="17" spans="1:7" x14ac:dyDescent="0.2">
      <c r="A17" s="56" t="s">
        <v>244</v>
      </c>
      <c r="B17" s="42" t="s">
        <v>129</v>
      </c>
      <c r="C17" s="42">
        <v>1</v>
      </c>
      <c r="D17" s="43">
        <v>4.8462999999999999E-2</v>
      </c>
      <c r="E17" s="43">
        <v>0.52273000000000003</v>
      </c>
      <c r="F17" s="42">
        <v>42.715000000000003</v>
      </c>
      <c r="G17" s="44">
        <v>1E-3</v>
      </c>
    </row>
    <row r="18" spans="1:7" x14ac:dyDescent="0.2">
      <c r="A18" s="57"/>
      <c r="B18" s="33" t="s">
        <v>237</v>
      </c>
      <c r="C18" s="33">
        <v>39</v>
      </c>
      <c r="D18" s="48">
        <v>4.4248000000000003E-2</v>
      </c>
      <c r="E18" s="48">
        <v>0.47727000000000003</v>
      </c>
      <c r="F18" s="33"/>
      <c r="G18" s="49"/>
    </row>
    <row r="19" spans="1:7" x14ac:dyDescent="0.2">
      <c r="A19" s="56"/>
      <c r="B19" s="42" t="s">
        <v>214</v>
      </c>
      <c r="C19" s="42">
        <v>40</v>
      </c>
      <c r="D19" s="43">
        <v>9.2711000000000002E-2</v>
      </c>
      <c r="E19" s="43">
        <v>1</v>
      </c>
      <c r="F19" s="42"/>
      <c r="G19" s="44"/>
    </row>
    <row r="20" spans="1:7" x14ac:dyDescent="0.2">
      <c r="A20" s="54" t="s">
        <v>245</v>
      </c>
      <c r="B20" s="39" t="s">
        <v>129</v>
      </c>
      <c r="C20" s="39">
        <v>1</v>
      </c>
      <c r="D20" s="40">
        <v>2.5009E-2</v>
      </c>
      <c r="E20" s="40">
        <v>0.34343000000000001</v>
      </c>
      <c r="F20" s="39">
        <v>14.646000000000001</v>
      </c>
      <c r="G20" s="41">
        <v>1E-3</v>
      </c>
    </row>
    <row r="21" spans="1:7" x14ac:dyDescent="0.2">
      <c r="A21" s="55"/>
      <c r="B21" s="45" t="s">
        <v>237</v>
      </c>
      <c r="C21" s="45">
        <v>28</v>
      </c>
      <c r="D21" s="46">
        <v>4.7813000000000001E-2</v>
      </c>
      <c r="E21" s="46">
        <v>0.65656999999999999</v>
      </c>
      <c r="F21" s="45"/>
      <c r="G21" s="47"/>
    </row>
    <row r="22" spans="1:7" x14ac:dyDescent="0.2">
      <c r="A22" s="54"/>
      <c r="B22" s="39" t="s">
        <v>214</v>
      </c>
      <c r="C22" s="39">
        <v>29</v>
      </c>
      <c r="D22" s="40">
        <v>7.2821999999999998E-2</v>
      </c>
      <c r="E22" s="40">
        <v>1</v>
      </c>
      <c r="F22" s="39"/>
      <c r="G22" s="41"/>
    </row>
    <row r="23" spans="1:7" x14ac:dyDescent="0.2">
      <c r="A23" s="56" t="s">
        <v>246</v>
      </c>
      <c r="B23" s="42" t="s">
        <v>129</v>
      </c>
      <c r="C23" s="42">
        <v>1</v>
      </c>
      <c r="D23" s="43">
        <v>5.9489E-2</v>
      </c>
      <c r="E23" s="43">
        <v>0.47982999999999998</v>
      </c>
      <c r="F23" s="42">
        <v>37.820999999999998</v>
      </c>
      <c r="G23" s="44">
        <v>1E-3</v>
      </c>
    </row>
    <row r="24" spans="1:7" x14ac:dyDescent="0.2">
      <c r="A24" s="33"/>
      <c r="B24" s="33" t="s">
        <v>237</v>
      </c>
      <c r="C24" s="33">
        <v>41</v>
      </c>
      <c r="D24" s="48">
        <v>6.4489000000000005E-2</v>
      </c>
      <c r="E24" s="48">
        <v>0.52017000000000002</v>
      </c>
      <c r="F24" s="33"/>
      <c r="G24" s="33"/>
    </row>
    <row r="25" spans="1:7" x14ac:dyDescent="0.2">
      <c r="A25" s="42"/>
      <c r="B25" s="42" t="s">
        <v>214</v>
      </c>
      <c r="C25" s="42">
        <v>42</v>
      </c>
      <c r="D25" s="43">
        <v>0.123978</v>
      </c>
      <c r="E25" s="43">
        <v>1</v>
      </c>
      <c r="F25" s="42"/>
      <c r="G25" s="42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004-91FA-FB40-9E25-12AD1FD174AF}">
  <dimension ref="A1:G9"/>
  <sheetViews>
    <sheetView workbookViewId="0">
      <selection activeCell="C6" sqref="C6:D6"/>
    </sheetView>
  </sheetViews>
  <sheetFormatPr baseColWidth="10" defaultRowHeight="16" x14ac:dyDescent="0.2"/>
  <cols>
    <col min="1" max="4" width="30.33203125" customWidth="1"/>
    <col min="5" max="5" width="24.1640625" customWidth="1"/>
    <col min="6" max="6" width="28" customWidth="1"/>
  </cols>
  <sheetData>
    <row r="1" spans="1:7" ht="70" customHeight="1" x14ac:dyDescent="0.2">
      <c r="A1" s="117" t="s">
        <v>286</v>
      </c>
      <c r="B1" s="117"/>
      <c r="C1" s="117"/>
      <c r="D1" s="117"/>
      <c r="E1" s="117"/>
      <c r="F1" s="117"/>
      <c r="G1" s="32"/>
    </row>
    <row r="2" spans="1:7" x14ac:dyDescent="0.2">
      <c r="A2" s="32"/>
      <c r="B2" s="31"/>
      <c r="C2" s="31"/>
      <c r="D2" s="31"/>
      <c r="E2" s="31"/>
      <c r="F2" s="31"/>
    </row>
    <row r="3" spans="1:7" ht="17" x14ac:dyDescent="0.2">
      <c r="A3" s="87" t="s">
        <v>285</v>
      </c>
      <c r="B3" s="87" t="s">
        <v>275</v>
      </c>
      <c r="C3" s="87" t="s">
        <v>276</v>
      </c>
      <c r="D3" s="87" t="s">
        <v>277</v>
      </c>
    </row>
    <row r="4" spans="1:7" x14ac:dyDescent="0.2">
      <c r="A4" s="91" t="s">
        <v>283</v>
      </c>
      <c r="B4" s="88" t="s">
        <v>278</v>
      </c>
      <c r="C4" s="93">
        <v>0.36322450000000001</v>
      </c>
      <c r="D4" s="93">
        <v>0.21348429999999999</v>
      </c>
    </row>
    <row r="5" spans="1:7" x14ac:dyDescent="0.2">
      <c r="A5" s="92"/>
      <c r="B5" s="88" t="s">
        <v>279</v>
      </c>
      <c r="C5" s="89">
        <v>0.27600000000000002</v>
      </c>
      <c r="D5" s="89">
        <v>0.16200000000000001</v>
      </c>
    </row>
    <row r="6" spans="1:7" x14ac:dyDescent="0.2">
      <c r="A6" s="91" t="s">
        <v>284</v>
      </c>
      <c r="B6" s="88" t="s">
        <v>281</v>
      </c>
      <c r="C6" s="90">
        <v>0.996</v>
      </c>
      <c r="D6" s="90">
        <v>-9.0999999999999998E-2</v>
      </c>
    </row>
    <row r="7" spans="1:7" x14ac:dyDescent="0.2">
      <c r="B7" s="88" t="s">
        <v>280</v>
      </c>
      <c r="C7" s="90">
        <v>0.214</v>
      </c>
      <c r="D7" s="88"/>
    </row>
    <row r="8" spans="1:7" x14ac:dyDescent="0.2">
      <c r="A8" s="92"/>
      <c r="B8" s="88" t="s">
        <v>282</v>
      </c>
      <c r="C8" s="94">
        <v>1E-3</v>
      </c>
      <c r="D8" s="88"/>
    </row>
    <row r="9" spans="1:7" x14ac:dyDescent="0.2">
      <c r="A9" s="86"/>
      <c r="B9" s="86"/>
      <c r="C9" s="86"/>
      <c r="D9" s="86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01B1-2732-5347-ABD1-3455845E5C6C}">
  <dimension ref="A1:G31"/>
  <sheetViews>
    <sheetView workbookViewId="0">
      <selection activeCell="E27" sqref="E27"/>
    </sheetView>
  </sheetViews>
  <sheetFormatPr baseColWidth="10" defaultRowHeight="16" x14ac:dyDescent="0.2"/>
  <cols>
    <col min="1" max="1" width="31.5" bestFit="1" customWidth="1"/>
    <col min="2" max="4" width="30.33203125" customWidth="1"/>
    <col min="5" max="5" width="24.1640625" customWidth="1"/>
    <col min="6" max="6" width="28" customWidth="1"/>
  </cols>
  <sheetData>
    <row r="1" spans="1:7" ht="70" customHeight="1" x14ac:dyDescent="0.2">
      <c r="A1" s="117" t="s">
        <v>292</v>
      </c>
      <c r="B1" s="117"/>
      <c r="C1" s="117"/>
      <c r="D1" s="117"/>
      <c r="E1" s="117"/>
      <c r="F1" s="117"/>
      <c r="G1" s="32"/>
    </row>
    <row r="2" spans="1:7" x14ac:dyDescent="0.2">
      <c r="A2" s="32"/>
      <c r="B2" s="31"/>
      <c r="C2" s="31"/>
      <c r="D2" s="31"/>
      <c r="E2" s="31"/>
      <c r="F2" s="31"/>
    </row>
    <row r="3" spans="1:7" ht="17" x14ac:dyDescent="0.2">
      <c r="A3" s="87" t="s">
        <v>221</v>
      </c>
      <c r="B3" s="87" t="s">
        <v>293</v>
      </c>
      <c r="C3" s="87" t="s">
        <v>225</v>
      </c>
    </row>
    <row r="4" spans="1:7" x14ac:dyDescent="0.2">
      <c r="A4" s="33" t="s">
        <v>298</v>
      </c>
      <c r="B4" s="48">
        <v>0.467424426</v>
      </c>
      <c r="C4" s="49">
        <v>1E-3</v>
      </c>
    </row>
    <row r="5" spans="1:7" x14ac:dyDescent="0.2">
      <c r="A5" s="33" t="s">
        <v>299</v>
      </c>
      <c r="B5" s="48">
        <v>0.13909450200000001</v>
      </c>
      <c r="C5" s="49">
        <v>1E-3</v>
      </c>
    </row>
    <row r="6" spans="1:7" ht="17" x14ac:dyDescent="0.2">
      <c r="A6" s="87" t="s">
        <v>265</v>
      </c>
      <c r="B6" s="87" t="s">
        <v>266</v>
      </c>
      <c r="C6" s="87" t="s">
        <v>225</v>
      </c>
    </row>
    <row r="7" spans="1:7" x14ac:dyDescent="0.2">
      <c r="A7" s="33" t="s">
        <v>220</v>
      </c>
      <c r="B7" s="95">
        <v>0.46714587299999999</v>
      </c>
      <c r="C7" s="49">
        <v>1E-3</v>
      </c>
    </row>
    <row r="8" spans="1:7" x14ac:dyDescent="0.2">
      <c r="A8" s="33" t="s">
        <v>294</v>
      </c>
      <c r="B8" s="33">
        <v>1676.7</v>
      </c>
      <c r="C8" s="49">
        <v>1E-3</v>
      </c>
    </row>
    <row r="9" spans="1:7" ht="17" x14ac:dyDescent="0.2">
      <c r="A9" s="87" t="s">
        <v>262</v>
      </c>
      <c r="B9" s="87" t="s">
        <v>266</v>
      </c>
      <c r="C9" s="33"/>
    </row>
    <row r="10" spans="1:7" x14ac:dyDescent="0.2">
      <c r="A10" s="33" t="s">
        <v>295</v>
      </c>
      <c r="B10" s="84">
        <v>999</v>
      </c>
      <c r="C10" s="33"/>
    </row>
    <row r="11" spans="1:7" x14ac:dyDescent="0.2">
      <c r="A11" s="33" t="s">
        <v>296</v>
      </c>
      <c r="B11" s="84" t="s">
        <v>301</v>
      </c>
      <c r="C11" s="33"/>
    </row>
    <row r="12" spans="1:7" x14ac:dyDescent="0.2">
      <c r="A12" s="33" t="s">
        <v>297</v>
      </c>
      <c r="B12" s="84" t="s">
        <v>300</v>
      </c>
      <c r="C12" s="33"/>
    </row>
    <row r="31" spans="1:1" x14ac:dyDescent="0.2">
      <c r="A31" s="96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Table_S1_Metadata</vt:lpstr>
      <vt:lpstr>Table_S2_pairwise_comparisons</vt:lpstr>
      <vt:lpstr>Table_S3_GLM</vt:lpstr>
      <vt:lpstr>Table_S4_OTU&amp;Abundance</vt:lpstr>
      <vt:lpstr>Table_S5_Linear_regression</vt:lpstr>
      <vt:lpstr>Table_S6_PERMANOVA</vt:lpstr>
      <vt:lpstr>Table_S7_envfit</vt:lpstr>
      <vt:lpstr>Table_S8_MRM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zhongyue@connect.hku.hk</dc:creator>
  <cp:lastModifiedBy>zhongyue@connect.hku.hk</cp:lastModifiedBy>
  <dcterms:created xsi:type="dcterms:W3CDTF">2026-02-28T07:06:21Z</dcterms:created>
  <dcterms:modified xsi:type="dcterms:W3CDTF">2026-06-08T07:55:04Z</dcterms:modified>
</cp:coreProperties>
</file>